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Seat_study1\output_data\"/>
    </mc:Choice>
  </mc:AlternateContent>
  <xr:revisionPtr revIDLastSave="0" documentId="13_ncr:1_{A0C77FF2-BAEC-4926-A41A-07C753558B43}" xr6:coauthVersionLast="47" xr6:coauthVersionMax="47" xr10:uidLastSave="{00000000-0000-0000-0000-000000000000}"/>
  <bookViews>
    <workbookView xWindow="-110" yWindow="-110" windowWidth="25820" windowHeight="15500" xr2:uid="{D4E60FB9-6AA5-4B83-8FD1-86A941D84292}"/>
  </bookViews>
  <sheets>
    <sheet name="df_ratings_all" sheetId="1" r:id="rId1"/>
    <sheet name="PostQ" sheetId="5" r:id="rId2"/>
    <sheet name="Sheet1" sheetId="2" r:id="rId3"/>
    <sheet name="Sheet2" sheetId="3" r:id="rId4"/>
    <sheet name="Sheet3" sheetId="4" r:id="rId5"/>
  </sheets>
  <definedNames>
    <definedName name="_xlnm._FilterDatabase" localSheetId="0" hidden="1">df_ratings_all!$A$1:$BF$209</definedName>
    <definedName name="_xlnm._FilterDatabase" localSheetId="1" hidden="1">PostQ!$A$1:$T$209</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6"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 i="1"/>
  <c r="B10" i="2"/>
  <c r="E4" i="4"/>
  <c r="E5" i="4"/>
  <c r="E6" i="4"/>
  <c r="E7" i="4"/>
  <c r="E8" i="4"/>
  <c r="E3" i="4"/>
  <c r="G4" i="3"/>
  <c r="E3" i="3"/>
  <c r="E4" i="3"/>
  <c r="E5" i="3"/>
  <c r="E2" i="3"/>
  <c r="G3" i="3"/>
  <c r="G2" i="3"/>
  <c r="B9" i="2"/>
</calcChain>
</file>

<file path=xl/sharedStrings.xml><?xml version="1.0" encoding="utf-8"?>
<sst xmlns="http://schemas.openxmlformats.org/spreadsheetml/2006/main" count="3941" uniqueCount="895">
  <si>
    <t>rating1</t>
  </si>
  <si>
    <t>rating2</t>
  </si>
  <si>
    <t>rating3</t>
  </si>
  <si>
    <t>rating4</t>
  </si>
  <si>
    <t>rating5</t>
  </si>
  <si>
    <t>rating6</t>
  </si>
  <si>
    <t>rating7</t>
  </si>
  <si>
    <t>rating8</t>
  </si>
  <si>
    <t>rating9</t>
  </si>
  <si>
    <t>rating10</t>
  </si>
  <si>
    <t>rating11</t>
  </si>
  <si>
    <t>rating12</t>
  </si>
  <si>
    <t>rating13</t>
  </si>
  <si>
    <t>rating14</t>
  </si>
  <si>
    <t>rating15</t>
  </si>
  <si>
    <t>rating16</t>
  </si>
  <si>
    <t>rating17</t>
  </si>
  <si>
    <t>rating18</t>
  </si>
  <si>
    <t>rating19</t>
  </si>
  <si>
    <t>rating20</t>
  </si>
  <si>
    <t>subject</t>
  </si>
  <si>
    <t>rating21</t>
  </si>
  <si>
    <t>Seat_angle</t>
  </si>
  <si>
    <t>Weight</t>
  </si>
  <si>
    <t>Age</t>
  </si>
  <si>
    <t>Body Fat (%)</t>
  </si>
  <si>
    <t>Visceral Fat</t>
  </si>
  <si>
    <t>Resting Metabolism (kcal)</t>
  </si>
  <si>
    <t>Skeletal Muscle(%)</t>
  </si>
  <si>
    <t>Skeletal Muscle?ARMS?(%)</t>
  </si>
  <si>
    <t>Skeletal Muscle?TRUNK?(%)</t>
  </si>
  <si>
    <t>Skeletal Muscle?LEGS?(%)</t>
  </si>
  <si>
    <t>Subcutaneous fat (%)</t>
  </si>
  <si>
    <t>Subcutaneous fat?ARMS?(%)</t>
  </si>
  <si>
    <t>Subcutaneous fat?TRUNK?(%)</t>
  </si>
  <si>
    <t>Subcutaneous fat?LEGS?(%)</t>
  </si>
  <si>
    <t>BMI</t>
  </si>
  <si>
    <t>Average Hip width</t>
  </si>
  <si>
    <t>Average Butt Knee</t>
  </si>
  <si>
    <t>Average Popliteal</t>
  </si>
  <si>
    <t>Height</t>
  </si>
  <si>
    <t>Gender</t>
  </si>
  <si>
    <t>Weight_status</t>
  </si>
  <si>
    <t>age_group</t>
  </si>
  <si>
    <t>height_group</t>
  </si>
  <si>
    <t>A001</t>
  </si>
  <si>
    <t>Male</t>
  </si>
  <si>
    <t>Healthy</t>
  </si>
  <si>
    <t>A002</t>
  </si>
  <si>
    <t>Female</t>
  </si>
  <si>
    <t>A004</t>
  </si>
  <si>
    <t>A005</t>
  </si>
  <si>
    <t>Overweight</t>
  </si>
  <si>
    <t>A006</t>
  </si>
  <si>
    <t>A007</t>
  </si>
  <si>
    <t>A008</t>
  </si>
  <si>
    <t>A009</t>
  </si>
  <si>
    <t>A010</t>
  </si>
  <si>
    <t>A011</t>
  </si>
  <si>
    <t>A012</t>
  </si>
  <si>
    <t>A013</t>
  </si>
  <si>
    <t>A014</t>
  </si>
  <si>
    <t>A015</t>
  </si>
  <si>
    <t>A0SQ</t>
  </si>
  <si>
    <t>A016</t>
  </si>
  <si>
    <t>A017</t>
  </si>
  <si>
    <t>A018</t>
  </si>
  <si>
    <t>A019</t>
  </si>
  <si>
    <t>A020</t>
  </si>
  <si>
    <t>A021</t>
  </si>
  <si>
    <t>A022</t>
  </si>
  <si>
    <t>A023</t>
  </si>
  <si>
    <t>A024</t>
  </si>
  <si>
    <t>A025</t>
  </si>
  <si>
    <t>A026</t>
  </si>
  <si>
    <t>A027</t>
  </si>
  <si>
    <t>A028</t>
  </si>
  <si>
    <t>A030</t>
  </si>
  <si>
    <t>A031</t>
  </si>
  <si>
    <t>A032</t>
  </si>
  <si>
    <t>A033</t>
  </si>
  <si>
    <t>A035</t>
  </si>
  <si>
    <t>A041</t>
  </si>
  <si>
    <t>A045</t>
  </si>
  <si>
    <t>A049</t>
  </si>
  <si>
    <t>Column Labels</t>
  </si>
  <si>
    <t>Grand Total</t>
  </si>
  <si>
    <t>Row Labels</t>
  </si>
  <si>
    <t>Count of subject</t>
  </si>
  <si>
    <t>A029</t>
  </si>
  <si>
    <t>A034</t>
  </si>
  <si>
    <t>A036</t>
  </si>
  <si>
    <t>A037</t>
  </si>
  <si>
    <t>A038</t>
  </si>
  <si>
    <t>A039</t>
  </si>
  <si>
    <t>A040</t>
  </si>
  <si>
    <t>(blank)</t>
  </si>
  <si>
    <t>A042</t>
  </si>
  <si>
    <t>A043</t>
  </si>
  <si>
    <t>A044</t>
  </si>
  <si>
    <t>A046</t>
  </si>
  <si>
    <t>A047</t>
  </si>
  <si>
    <t>A048</t>
  </si>
  <si>
    <t>A050</t>
  </si>
  <si>
    <t>intercept</t>
  </si>
  <si>
    <t>slope</t>
  </si>
  <si>
    <t>A051</t>
  </si>
  <si>
    <t>A052</t>
  </si>
  <si>
    <t>A053</t>
  </si>
  <si>
    <t>A054</t>
  </si>
  <si>
    <t>A055</t>
  </si>
  <si>
    <t>A056</t>
  </si>
  <si>
    <t>A057</t>
  </si>
  <si>
    <t>A058</t>
  </si>
  <si>
    <t>A059</t>
  </si>
  <si>
    <t>A060</t>
  </si>
  <si>
    <t>A061</t>
  </si>
  <si>
    <t>A063</t>
  </si>
  <si>
    <t>A064</t>
  </si>
  <si>
    <t>r-square</t>
  </si>
  <si>
    <t>rmse</t>
  </si>
  <si>
    <t>A065</t>
  </si>
  <si>
    <t>A062</t>
  </si>
  <si>
    <t>A067</t>
  </si>
  <si>
    <t>A068</t>
  </si>
  <si>
    <t>A069</t>
  </si>
  <si>
    <t>15-36</t>
  </si>
  <si>
    <t>A071</t>
  </si>
  <si>
    <t>A072</t>
  </si>
  <si>
    <t>A073</t>
  </si>
  <si>
    <t>A075</t>
  </si>
  <si>
    <t>A076</t>
  </si>
  <si>
    <t>22-32</t>
  </si>
  <si>
    <t>A077</t>
  </si>
  <si>
    <t>A078</t>
  </si>
  <si>
    <t>A079</t>
  </si>
  <si>
    <t>A080</t>
  </si>
  <si>
    <t>A081</t>
  </si>
  <si>
    <t>A082</t>
  </si>
  <si>
    <t>A083</t>
  </si>
  <si>
    <t>A084</t>
  </si>
  <si>
    <t>A085</t>
  </si>
  <si>
    <t>A086</t>
  </si>
  <si>
    <t>A087</t>
  </si>
  <si>
    <t>17-21</t>
  </si>
  <si>
    <t>A088</t>
  </si>
  <si>
    <t>A089</t>
  </si>
  <si>
    <t>25-31</t>
  </si>
  <si>
    <t>A090</t>
  </si>
  <si>
    <t>26-28</t>
  </si>
  <si>
    <t>A091</t>
  </si>
  <si>
    <t>29-30</t>
  </si>
  <si>
    <t>A092</t>
  </si>
  <si>
    <t>A093</t>
  </si>
  <si>
    <t>A094</t>
  </si>
  <si>
    <t>27-28</t>
  </si>
  <si>
    <t>A095</t>
  </si>
  <si>
    <t>A096</t>
  </si>
  <si>
    <t>A097</t>
  </si>
  <si>
    <t>A098</t>
  </si>
  <si>
    <t>A099</t>
  </si>
  <si>
    <t>32-34</t>
  </si>
  <si>
    <t>A100</t>
  </si>
  <si>
    <t>31-37</t>
  </si>
  <si>
    <t>A101</t>
  </si>
  <si>
    <t>21-25</t>
  </si>
  <si>
    <t>A102</t>
  </si>
  <si>
    <t>A103</t>
  </si>
  <si>
    <t>A104</t>
  </si>
  <si>
    <t>22-23</t>
  </si>
  <si>
    <t>A105</t>
  </si>
  <si>
    <t>A106</t>
  </si>
  <si>
    <t>A107</t>
  </si>
  <si>
    <t>31-36</t>
  </si>
  <si>
    <t>A108</t>
  </si>
  <si>
    <t>32, 36, 33</t>
  </si>
  <si>
    <t>A109</t>
  </si>
  <si>
    <t>24, 22</t>
  </si>
  <si>
    <t>A110</t>
  </si>
  <si>
    <t>A111</t>
  </si>
  <si>
    <t>20, 23</t>
  </si>
  <si>
    <t>A112</t>
  </si>
  <si>
    <t>A113</t>
  </si>
  <si>
    <t>A114</t>
  </si>
  <si>
    <t>A115</t>
  </si>
  <si>
    <t>18, 30, 20</t>
  </si>
  <si>
    <t>A116</t>
  </si>
  <si>
    <t>A117</t>
  </si>
  <si>
    <t>A118</t>
  </si>
  <si>
    <t>32-35</t>
  </si>
  <si>
    <t>A119</t>
  </si>
  <si>
    <t>A120</t>
  </si>
  <si>
    <t>27-30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</si>
  <si>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</si>
  <si>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</si>
  <si>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</si>
  <si>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</si>
  <si>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</si>
  <si>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</si>
  <si>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</si>
  <si>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</si>
  <si>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</si>
  <si>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</si>
  <si>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</si>
  <si>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</si>
  <si>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</si>
  <si>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</si>
  <si>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</si>
  <si>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</si>
  <si>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</si>
  <si>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</si>
  <si>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</si>
  <si>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</si>
  <si>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</si>
  <si>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</si>
  <si>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</si>
  <si>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</si>
  <si>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16-21</t>
  </si>
  <si>
    <t>A145</t>
  </si>
  <si>
    <t>A146</t>
  </si>
  <si>
    <t>32-37</t>
  </si>
  <si>
    <t>A147</t>
  </si>
  <si>
    <t>A148</t>
  </si>
  <si>
    <t>23-26</t>
  </si>
  <si>
    <t>A149</t>
  </si>
  <si>
    <t>A150</t>
  </si>
  <si>
    <t>variance_rating</t>
  </si>
  <si>
    <t>A151</t>
  </si>
  <si>
    <t>A152</t>
  </si>
  <si>
    <t>A153</t>
  </si>
  <si>
    <t>A154</t>
  </si>
  <si>
    <t>A155</t>
  </si>
  <si>
    <t>20-22</t>
  </si>
  <si>
    <t>A156</t>
  </si>
  <si>
    <t>A157</t>
  </si>
  <si>
    <t>A158</t>
  </si>
  <si>
    <t>22-31</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</si>
  <si>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</si>
  <si>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</si>
  <si>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</si>
  <si>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</si>
  <si>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</si>
  <si>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</si>
  <si>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</si>
  <si>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</si>
  <si>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</si>
  <si>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</si>
  <si>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</si>
  <si>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</si>
  <si>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</si>
  <si>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</si>
  <si>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</si>
  <si>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</si>
  <si>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</si>
  <si>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</si>
  <si>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</si>
  <si>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</si>
  <si>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</si>
  <si>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</si>
  <si>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</si>
  <si>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</si>
  <si>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</si>
  <si>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30-31</t>
  </si>
  <si>
    <t>A184</t>
  </si>
  <si>
    <t>A185</t>
  </si>
  <si>
    <t>A186</t>
  </si>
  <si>
    <t>A187</t>
  </si>
  <si>
    <t>A188</t>
  </si>
  <si>
    <t>A189</t>
  </si>
  <si>
    <t>A190</t>
  </si>
  <si>
    <t>24-25</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</si>
  <si>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</si>
  <si>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</si>
  <si>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</si>
  <si>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</si>
  <si>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</si>
  <si>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</si>
  <si>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</si>
  <si>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</si>
  <si>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</si>
  <si>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</si>
  <si>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</si>
  <si>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</si>
  <si>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</si>
  <si>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</si>
  <si>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</si>
  <si>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</si>
  <si>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</si>
  <si>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</si>
  <si>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</si>
  <si>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</si>
  <si>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</si>
  <si>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Onset of Discomrt doesn't exist</t>
  </si>
  <si>
    <t># of subjects considered</t>
  </si>
  <si>
    <t>Average of onset duration (min)</t>
  </si>
  <si>
    <t>Mean</t>
  </si>
  <si>
    <t>Median</t>
  </si>
  <si>
    <t>Fix rating (12, 25)</t>
  </si>
  <si>
    <t>Average of onset duration (hour)</t>
  </si>
  <si>
    <t>Method to calculate onset of discomfort</t>
  </si>
  <si>
    <t>Criteria</t>
  </si>
  <si>
    <t>Fix_20</t>
  </si>
  <si>
    <t>Fix_24</t>
  </si>
  <si>
    <t>Fix_21</t>
  </si>
  <si>
    <t>Average duration of onset</t>
  </si>
  <si>
    <t>Fix_17</t>
  </si>
  <si>
    <t>Median duration of onset</t>
  </si>
  <si>
    <t>% of subjects when onset exist</t>
  </si>
  <si>
    <t>Fix_15</t>
  </si>
  <si>
    <t>Subjects when onset exists</t>
  </si>
  <si>
    <t>past_flights</t>
  </si>
  <si>
    <t>sitting_duration</t>
  </si>
  <si>
    <t>slope_hour</t>
  </si>
  <si>
    <t>slope_direction</t>
  </si>
  <si>
    <t>slope_group</t>
  </si>
  <si>
    <t>1 to 5</t>
  </si>
  <si>
    <t>6 to 9 hours</t>
  </si>
  <si>
    <t>Below 53</t>
  </si>
  <si>
    <t>Above 166</t>
  </si>
  <si>
    <t>P</t>
  </si>
  <si>
    <t>Below_3.1hrs</t>
  </si>
  <si>
    <t>3 to 6 hours</t>
  </si>
  <si>
    <t>0 to 3 hours</t>
  </si>
  <si>
    <t>Below 167</t>
  </si>
  <si>
    <t>Above_3.1hrs</t>
  </si>
  <si>
    <t>More than 9 hours</t>
  </si>
  <si>
    <t>Above 52</t>
  </si>
  <si>
    <t>More than 15</t>
  </si>
  <si>
    <t>C</t>
  </si>
  <si>
    <t>N</t>
  </si>
  <si>
    <t>6 to 15</t>
  </si>
  <si>
    <t>16-20</t>
  </si>
  <si>
    <t>28-30</t>
  </si>
  <si>
    <t>29-39</t>
  </si>
  <si>
    <t>25-28</t>
  </si>
  <si>
    <t>max_rating</t>
  </si>
  <si>
    <t>slope_4hour</t>
  </si>
  <si>
    <t>pval</t>
  </si>
  <si>
    <t>Please rate your overall discomfort experience during the study.</t>
  </si>
  <si>
    <t>What factors affected your overall discomfort experience during the study?</t>
  </si>
  <si>
    <t>Were there any issues with recording your discomfort ratings during the flight study?</t>
  </si>
  <si>
    <t>Were there any issues when watching the In-flight Entertainment?</t>
  </si>
  <si>
    <t>Please select other forms of discomfort that you experienced during the study. Check all that apply. - Selected Choice</t>
  </si>
  <si>
    <t>Please select other forms of discomfort that you experienced during the study. Check all that apply. - Others (please specify): - Text</t>
  </si>
  <si>
    <t>Seat dimensions</t>
  </si>
  <si>
    <t>Seat cushion</t>
  </si>
  <si>
    <t>Seat recline</t>
  </si>
  <si>
    <t>Footwell (space for the feet at the front of the seat)</t>
  </si>
  <si>
    <t>Leg rest (part of the seat that supports the calves)</t>
  </si>
  <si>
    <t>Headrest</t>
  </si>
  <si>
    <t>Armrest</t>
  </si>
  <si>
    <t>Are there other aspects of the seat that are important to you?</t>
  </si>
  <si>
    <t>Are there any additional factors that could be addressed to help reduce your discomfort experienced?</t>
  </si>
  <si>
    <t>Slight discomfort</t>
  </si>
  <si>
    <t>The light and noise</t>
  </si>
  <si>
    <t>No</t>
  </si>
  <si>
    <t>Others (please specify):</t>
  </si>
  <si>
    <t>Not much except the light</t>
  </si>
  <si>
    <t>Inability to use leg rest; small and non-adjustable screen</t>
  </si>
  <si>
    <t>Restricted space for movement,Seat angle</t>
  </si>
  <si>
    <t>Better arm rest. Too low on my right, too high on my left</t>
  </si>
  <si>
    <t>No.</t>
  </si>
  <si>
    <t xml:space="preserve">The chair position </t>
  </si>
  <si>
    <t>No at all</t>
  </si>
  <si>
    <t>The survey disruption if not is better</t>
  </si>
  <si>
    <t>Seat angle</t>
  </si>
  <si>
    <t>Recline more</t>
  </si>
  <si>
    <t>Not being able to move around and fighting off the urge to sleep.</t>
  </si>
  <si>
    <t>Seat angle,Others (please specify):</t>
  </si>
  <si>
    <t>Wanted to change the seat angle to be more upright after being in the same position for some time.</t>
  </si>
  <si>
    <t xml:space="preserve">Something to hug would help </t>
  </si>
  <si>
    <t>Moderate discomfort</t>
  </si>
  <si>
    <t>Weak back and long hours sitting</t>
  </si>
  <si>
    <t>Nil</t>
  </si>
  <si>
    <t>Able to get up and stretch</t>
  </si>
  <si>
    <t xml:space="preserve">Angle of seat (lateral) </t>
  </si>
  <si>
    <t>Slight difficulty in navigating Netflix</t>
  </si>
  <si>
    <t>Alignment of Center of seat and left armrest</t>
  </si>
  <si>
    <t xml:space="preserve">The positioning of the inflight entertainment with respect to the seat. I had to lean left to view the screen, resulting in my bum being numb </t>
  </si>
  <si>
    <t>Less area to stretch the legs.</t>
  </si>
  <si>
    <t>Restricted space for movement</t>
  </si>
  <si>
    <t>Seat material.</t>
  </si>
  <si>
    <t>Provide sufficient space for movement.</t>
  </si>
  <si>
    <t>Sitting too long.</t>
  </si>
  <si>
    <t>Headrest could have been more better</t>
  </si>
  <si>
    <t>Space for the feet should be a little more spacious</t>
  </si>
  <si>
    <t>No discomfort</t>
  </si>
  <si>
    <t>NA</t>
  </si>
  <si>
    <t>Should make it .ore realistic tonallow people tonassess email or even take a nap</t>
  </si>
  <si>
    <t>Should make it.more realiatic dor people ro take.nap as not everyone will.be awake thru the 6 hours in real flight</t>
  </si>
  <si>
    <t xml:space="preserve">The inability to adjust the seat. </t>
  </si>
  <si>
    <t>Not really</t>
  </si>
  <si>
    <t>Initial load, has some issues but refresh was ok</t>
  </si>
  <si>
    <t>Na</t>
  </si>
  <si>
    <t>Long hours in seating positions.</t>
  </si>
  <si>
    <t>Seat belt</t>
  </si>
  <si>
    <t xml:space="preserve">sitting too long in one position </t>
  </si>
  <si>
    <t>no</t>
  </si>
  <si>
    <t xml:space="preserve">Too short toilet break. 5mins for females not enough. </t>
  </si>
  <si>
    <t xml:space="preserve">Not really </t>
  </si>
  <si>
    <t>Ear phones discomfort. Some aircraft have the headphones plug where you can bring yoir own or connect via bluetooth</t>
  </si>
  <si>
    <t xml:space="preserve">I am short so footwell only on right leg affects my experience </t>
  </si>
  <si>
    <t>Nothing i can think of at the moment</t>
  </si>
  <si>
    <t>The right arm rest. Too narrow.</t>
  </si>
  <si>
    <t xml:space="preserve">shoulder width </t>
  </si>
  <si>
    <t>recline more</t>
  </si>
  <si>
    <t xml:space="preserve">Constant staring at scene and only allow to drink water during the breaks. </t>
  </si>
  <si>
    <t xml:space="preserve">Nope </t>
  </si>
  <si>
    <t>Nope</t>
  </si>
  <si>
    <t>Restricted space for movement,Others (please specify):</t>
  </si>
  <si>
    <t>Left armrest at odd position</t>
  </si>
  <si>
    <t>-</t>
  </si>
  <si>
    <t>Prolonged sitting</t>
  </si>
  <si>
    <t>Arm rest abit weird position</t>
  </si>
  <si>
    <t>Seat</t>
  </si>
  <si>
    <t>Back n butt</t>
  </si>
  <si>
    <t>Thermal discomfort,Restricted space for movement,Others (please specify):</t>
  </si>
  <si>
    <t>After 3pm the aircon a bit warm, no arm rest on the left. My legs abit dangling unable to touch the floor</t>
  </si>
  <si>
    <t>Cooler cushions</t>
  </si>
  <si>
    <t>Headache</t>
  </si>
  <si>
    <t>Back Cushion</t>
  </si>
  <si>
    <t xml:space="preserve">Buttock quite hot and the last part of the experience my head felt quite dizzy. </t>
  </si>
  <si>
    <t>That the divider wasnt solid. I remember it I was just like a fragile divider in a real plane</t>
  </si>
  <si>
    <t>Just the above mentioned issue.</t>
  </si>
  <si>
    <t>No issues</t>
  </si>
  <si>
    <t>No lower back lumpar support</t>
  </si>
  <si>
    <t>The system doesnt allow scrolling to the right and touching of the screen is not allowed</t>
  </si>
  <si>
    <t>Arm rest height and its not adjustable.</t>
  </si>
  <si>
    <t>Cant think of any now.</t>
  </si>
  <si>
    <t>Lower back no support</t>
  </si>
  <si>
    <t>Not enough lower back support</t>
  </si>
  <si>
    <t xml:space="preserve">Long hours of sitting </t>
  </si>
  <si>
    <t>Inability to adjust inclination of seat, narrow space for legs and slanting to one side, no leg rest available</t>
  </si>
  <si>
    <t>Some movies required a PIN to unlock</t>
  </si>
  <si>
    <t>Thermal discomfort,Restricted space for movement,Seat angle</t>
  </si>
  <si>
    <t>Width of the seat</t>
  </si>
  <si>
    <t>Slightly warmer temperature</t>
  </si>
  <si>
    <t>Chair not being able to adjust to a different angle</t>
  </si>
  <si>
    <t>Arm rest was a bit too high for me</t>
  </si>
  <si>
    <t>Inability to adjust seat when original position became uncomfortable. Continuous TV viewing tires the eyes as well. But upper back is the main discomfort area</t>
  </si>
  <si>
    <t xml:space="preserve">Nope. Though having to use arrow key is not as convenient as touch screen </t>
  </si>
  <si>
    <t>Neck support woukd have been nice. Without it the back esp right side was aching after a while. Miss the small pillows which i usually tug behind</t>
  </si>
  <si>
    <t>Lumbar support</t>
  </si>
  <si>
    <t>Longer stretch breaks and having a pillow tucked behind back would be good</t>
  </si>
  <si>
    <t>No lower back support</t>
  </si>
  <si>
    <t>Lack of lower back support</t>
  </si>
  <si>
    <t>Lower back support</t>
  </si>
  <si>
    <t xml:space="preserve">No armrest </t>
  </si>
  <si>
    <t>The shape of the chair. Not much support for the lower back.</t>
  </si>
  <si>
    <t>The surrounding area is a bit narrowed, but feet area is wide enough to move around. Seat angle feel too steep</t>
  </si>
  <si>
    <t>Seat is too hard</t>
  </si>
  <si>
    <t xml:space="preserve">It's good enough </t>
  </si>
  <si>
    <t>Prolonged sitting, watching the screen for too long</t>
  </si>
  <si>
    <t>After recording, the message requesting to fill in the rating blink. So I thought the earlier submission wasn’t successful and re enter</t>
  </si>
  <si>
    <t xml:space="preserve">It’s ok, just that it is too tiring to keep watching </t>
  </si>
  <si>
    <t>Being able to move around and having the option to test</t>
  </si>
  <si>
    <t>Cannot adjust the seat incline further</t>
  </si>
  <si>
    <t>Cushioning</t>
  </si>
  <si>
    <t>Allow for neck pillow</t>
  </si>
  <si>
    <t xml:space="preserve">Long duration of sitting </t>
  </si>
  <si>
    <t>Scrolling is limited as the keyboard does not offer full scrolling functionality.</t>
  </si>
  <si>
    <t>NIL</t>
  </si>
  <si>
    <t>Air temperature was not cold enough. Neck discomfort. </t>
  </si>
  <si>
    <t>No. Love it</t>
  </si>
  <si>
    <t>Thermal discomfort,Restricted space for movement</t>
  </si>
  <si>
    <t>I like it that there is no food smell.</t>
  </si>
  <si>
    <t>Backache </t>
  </si>
  <si>
    <t>Half way no English subtitles </t>
  </si>
  <si>
    <t>My legs are not able to reach the footwell (Too short to reach footwell)</t>
  </si>
  <si>
    <t>Long seating hours, lack of moving around &amp; hardness seat</t>
  </si>
  <si>
    <t>Pillow support for lower back</t>
  </si>
  <si>
    <t>Sitting angle and position </t>
  </si>
  <si>
    <t>Inability to extend my left arm long enough due to the sliding door of the cabin seat.</t>
  </si>
  <si>
    <t>Initially thought the first rating was not registered and keyed iin again.</t>
  </si>
  <si>
    <t>The inflight advertisements cause some difficulty for me to navigate to choose my next video to watch.</t>
  </si>
  <si>
    <t>Neck portion felt discomfort </t>
  </si>
  <si>
    <t>support for neck area</t>
  </si>
  <si>
    <t>ability to adjust the recling seat </t>
  </si>
  <si>
    <t>Sitting in same position for a period of time</t>
  </si>
  <si>
    <t>Extreme discomfort</t>
  </si>
  <si>
    <t>Irregular recording</t>
  </si>
  <si>
    <t>Yes</t>
  </si>
  <si>
    <t>More space</t>
  </si>
  <si>
    <t>Better back support </t>
  </si>
  <si>
    <t>Staying too long in one position</t>
  </si>
  <si>
    <t>None</t>
  </si>
  <si>
    <t>Hyigene</t>
  </si>
  <si>
    <t>Propably more cushion for the back to lessen the impact of prolong sitting.</t>
  </si>
  <si>
    <t>Sitting too long</t>
  </si>
  <si>
    <t>Initial selection of programs</t>
  </si>
  <si>
    <t>Moving side way to alight with centre of screen</t>
  </si>
  <si>
    <t>Cushion for neck</t>
  </si>
  <si>
    <t>Unable to adjust angle, no cushion to place behind the back, seat is slightly stiff and long extended sitting, foot rest is too far.</t>
  </si>
  <si>
    <t xml:space="preserve">Left leg is stretched in an angle due to blockage </t>
  </si>
  <si>
    <t>Provide cushion for back support or neck support. Allow the chair to be able to move closer to the foot rest</t>
  </si>
  <si>
    <t xml:space="preserve">Sitting position </t>
  </si>
  <si>
    <t>Position</t>
  </si>
  <si>
    <t>The seat is not comfortable </t>
  </si>
  <si>
    <t>leg space and arm rest space</t>
  </si>
  <si>
    <t>entertainment </t>
  </si>
  <si>
    <t>Sights discomfort </t>
  </si>
  <si>
    <t>Seat angle cannot be adjust, very short break given. No cushion / pillow provided to give better support. </t>
  </si>
  <si>
    <t>Disconnect easily</t>
  </si>
  <si>
    <t>Remote buttons not responsive. </t>
  </si>
  <si>
    <t>The armrest is not spacious</t>
  </si>
  <si>
    <t>sitting for 6 hours which is normal</t>
  </si>
  <si>
    <t>none</t>
  </si>
  <si>
    <t>no issue</t>
  </si>
  <si>
    <t>the width of the seat</t>
  </si>
  <si>
    <t>Seating for 2hrs continuously…</t>
  </si>
  <si>
    <t>No pillow to support the lower spine.</t>
  </si>
  <si>
    <t>Restricted space for movement,Seat angle,Others (please specify):</t>
  </si>
  <si>
    <t>Need back support like a pillow</t>
  </si>
  <si>
    <t>Limited leg space</t>
  </si>
  <si>
    <t>Long sitting n the black of flower back support.</t>
  </si>
  <si>
    <t>Not able to adjust after the first adjustment .</t>
  </si>
  <si>
    <t>Neck support  arm rest for the right hand.</t>
  </si>
  <si>
    <t>Air pressure cushion for the seat for distribution of pressure when seated for long hours. The seat gets a little warm .</t>
  </si>
  <si>
    <t>Fixed inclined position</t>
  </si>
  <si>
    <t>Angle of headrest</t>
  </si>
  <si>
    <t>Height of arm rest</t>
  </si>
  <si>
    <t>Was enjoyable </t>
  </si>
  <si>
    <t>Wireless earphone will be better</t>
  </si>
  <si>
    <t>Long sittings position</t>
  </si>
  <si>
    <t>Restricted seat adjustment </t>
  </si>
  <si>
    <t>Fixed sitting position without foot rest. The armrest was too high causing less support at lower back too. Additionally, there was distance between lower back and sit causing discomfort at lower back than rest of body parts.</t>
  </si>
  <si>
    <t>I got neck soreness likely due to fixed sitting position.</t>
  </si>
  <si>
    <t>No footrest </t>
  </si>
  <si>
    <t>Screen and seat too near to one another</t>
  </si>
  <si>
    <t>Seat cannot be adjusted. No hand rest. Limited entertainment</t>
  </si>
  <si>
    <t>Suitable cushion for the back</t>
  </si>
  <si>
    <t>Been restricted. </t>
  </si>
  <si>
    <t>Foot rest</t>
  </si>
  <si>
    <t>NONE</t>
  </si>
  <si>
    <t>NO</t>
  </si>
  <si>
    <t>Sitting in the same position for too long</t>
  </si>
  <si>
    <t>Would be best if seat recline angle can be adjusted during breaks</t>
  </si>
  <si>
    <t>my butt (Right) very painful</t>
  </si>
  <si>
    <t>air ciculation</t>
  </si>
  <si>
    <t>nope</t>
  </si>
  <si>
    <t>Severe discomfort</t>
  </si>
  <si>
    <t>Thermal discomfort</t>
  </si>
  <si>
    <t>Buttocks pain</t>
  </si>
  <si>
    <t>Timing for the prompts was off</t>
  </si>
  <si>
    <t>Not able to stand up and stretch as often as I would like</t>
  </si>
  <si>
    <t>Lack of lumbar support on the seat</t>
  </si>
  <si>
    <t>Figured it out along the way</t>
  </si>
  <si>
    <t xml:space="preserve">Noise Reduction </t>
  </si>
  <si>
    <t>No back support and head rest</t>
  </si>
  <si>
    <t>No contoured lower back support. No head rest support</t>
  </si>
  <si>
    <t>More contoured shape</t>
  </si>
  <si>
    <t>Head support</t>
  </si>
  <si>
    <t xml:space="preserve">I felt warm at my back and bottom. Also perhaps due to extended hours of seating, my lower back and hips are a little aching. </t>
  </si>
  <si>
    <t xml:space="preserve">Not really, just the Bluetooth keyboard wasn’t quite sensitive </t>
  </si>
  <si>
    <t>None at all. Appreciate that there was accompanying inflight sounds too</t>
  </si>
  <si>
    <t xml:space="preserve">Temperature </t>
  </si>
  <si>
    <t xml:space="preserve">Room temperature in the flight simulator seems higher than the office outside. </t>
  </si>
  <si>
    <t>No pillow to support my neck, I couldn’t adjust the seat</t>
  </si>
  <si>
    <t>Lighting</t>
  </si>
  <si>
    <t>Neck support</t>
  </si>
  <si>
    <t xml:space="preserve">Time sitting in fixed position </t>
  </si>
  <si>
    <t xml:space="preserve">No problem </t>
  </si>
  <si>
    <t xml:space="preserve">Learning how to select movies </t>
  </si>
  <si>
    <t xml:space="preserve">Slightly cold at the end </t>
  </si>
  <si>
    <t>Back rest</t>
  </si>
  <si>
    <t xml:space="preserve">Arm rest not available for left side </t>
  </si>
  <si>
    <t>Seated too long</t>
  </si>
  <si>
    <t>Sitting over extended period</t>
  </si>
  <si>
    <t>No problem</t>
  </si>
  <si>
    <t>Seat contour</t>
  </si>
  <si>
    <t>Both legs</t>
  </si>
  <si>
    <t>Leg position</t>
  </si>
  <si>
    <t>Comfortable</t>
  </si>
  <si>
    <t xml:space="preserve">Breaks are good for stretching </t>
  </si>
  <si>
    <t>Restrictions to walk</t>
  </si>
  <si>
    <t>Long hours of sitting. I usually move more</t>
  </si>
  <si>
    <t>It’s just not able to take a walk</t>
  </si>
  <si>
    <t>Just need to move a bit will be good</t>
  </si>
  <si>
    <t>Able to move about in the seat while doing other activity like eating and drinking</t>
  </si>
  <si>
    <t>Able to get up and walk around more often. Order and consume food and drinks</t>
  </si>
  <si>
    <t xml:space="preserve">Low back discomfort </t>
  </si>
  <si>
    <t>Bil</t>
  </si>
  <si>
    <t xml:space="preserve">Bigger seat </t>
  </si>
  <si>
    <t>Long hours of sitting</t>
  </si>
  <si>
    <t>Size of the seat</t>
  </si>
  <si>
    <t>Once the keyboard sleeps, it jump episodes</t>
  </si>
  <si>
    <t>Air flow and cold temp</t>
  </si>
  <si>
    <t>The screen too near, causing my eye vision blurry after watching for long hours</t>
  </si>
  <si>
    <t xml:space="preserve">Anyway to let the seat stay cool ? After long hours, the heat can make the hips uncomfortable </t>
  </si>
  <si>
    <t>There are not enough cushion</t>
  </si>
  <si>
    <t xml:space="preserve">My neck is not as comfortable </t>
  </si>
  <si>
    <t>The leg rest is not of the correct angle</t>
  </si>
  <si>
    <t xml:space="preserve">Arm rest not long enough </t>
  </si>
  <si>
    <t xml:space="preserve">The inner part of the chair Shld have some dimension to support the lower back </t>
  </si>
  <si>
    <t xml:space="preserve">Stiff muscle and low temperature </t>
  </si>
  <si>
    <t>I would like to have a cushion to place under my lower back.</t>
  </si>
  <si>
    <t xml:space="preserve">The chair upper back a bit push out for me </t>
  </si>
  <si>
    <t>Table height and where the earpiece connected from</t>
  </si>
  <si>
    <t xml:space="preserve">The alignment of the chair and the TV. </t>
  </si>
  <si>
    <t xml:space="preserve">Sitting for too long. </t>
  </si>
  <si>
    <t xml:space="preserve">Yes. It keeps jumping forward to other episodes when watching serial many times. When watching movie, it also keeps jumping forward. . </t>
  </si>
  <si>
    <t xml:space="preserve">Quite ok generally </t>
  </si>
  <si>
    <t xml:space="preserve">More cushiony and cooling will be good. Maybe a back support for those who needs it. </t>
  </si>
  <si>
    <t xml:space="preserve">Can it be a massager as well? </t>
  </si>
  <si>
    <t>Engine sound and long sitting</t>
  </si>
  <si>
    <t xml:space="preserve">Air circulation </t>
  </si>
  <si>
    <t>Looking at screen al the time.</t>
  </si>
  <si>
    <t>Seat handle not comfortable</t>
  </si>
  <si>
    <t xml:space="preserve">Cannot change sitting position </t>
  </si>
  <si>
    <t>Screen alignment with the seat leading me to tilt a certain way. time spend on the seat puts pressure on my lower back, pelvis and buttocks</t>
  </si>
  <si>
    <t>Lesser time spend on the seat</t>
  </si>
  <si>
    <t xml:space="preserve">Long hours sitting at one spot. </t>
  </si>
  <si>
    <t xml:space="preserve">Short time for stretching. </t>
  </si>
  <si>
    <t xml:space="preserve">Back </t>
  </si>
  <si>
    <t>NoNo</t>
  </si>
  <si>
    <t xml:space="preserve">Lower back </t>
  </si>
  <si>
    <t xml:space="preserve">No issue </t>
  </si>
  <si>
    <t xml:space="preserve">Comfortable </t>
  </si>
  <si>
    <t xml:space="preserve">To use headset instead of ear piece </t>
  </si>
  <si>
    <t>Long hours of sitting.</t>
  </si>
  <si>
    <t>More space for strecthing or allow for a walk every hour.</t>
  </si>
  <si>
    <t>The back felt warm</t>
  </si>
  <si>
    <t>Thermal discomfort,Seat angle</t>
  </si>
  <si>
    <t>The curvature of the back rest</t>
  </si>
  <si>
    <t>Long hours of sitting,</t>
  </si>
  <si>
    <t>It will help if angle can be adjusted .</t>
  </si>
  <si>
    <t>Better armrest</t>
  </si>
  <si>
    <t xml:space="preserve">No. Very easy. </t>
  </si>
  <si>
    <t xml:space="preserve">No </t>
  </si>
  <si>
    <t xml:space="preserve">Further recline with leg rest </t>
  </si>
  <si>
    <t>Sit too long and can’t stand up</t>
  </si>
  <si>
    <t>No, all great</t>
  </si>
  <si>
    <t>So far so great</t>
  </si>
  <si>
    <t xml:space="preserve">Lack of recline, neck, lumbar support, footrest </t>
  </si>
  <si>
    <t>Clearly, even economy class sears have leg rests. Not having it in the study makes no sense and reflects very poor logic and design of the study.</t>
  </si>
  <si>
    <t xml:space="preserve">Nil </t>
  </si>
  <si>
    <t xml:space="preserve">Cannot use the touch screen </t>
  </si>
  <si>
    <t xml:space="preserve">Ear piece comfort level </t>
  </si>
  <si>
    <t xml:space="preserve">Nothing </t>
  </si>
  <si>
    <t xml:space="preserve">Unable to get up to stretch and adjust seat </t>
  </si>
  <si>
    <t xml:space="preserve">Cushion/pillow for lower back would be good. </t>
  </si>
  <si>
    <t xml:space="preserve">Temperature too cold, left side insufficient arm rest, lumbar not well supported, feet not enough support for resting.  </t>
  </si>
  <si>
    <t xml:space="preserve">No issues. </t>
  </si>
  <si>
    <t>All mentioned above</t>
  </si>
  <si>
    <t xml:space="preserve">Fixed position throughout </t>
  </si>
  <si>
    <t>Having a seat belt may make the study more realistic</t>
  </si>
  <si>
    <t xml:space="preserve">The seat getting warm after sitting for more than 30 minutes </t>
  </si>
  <si>
    <t>Mainly pressure on my buttocks probably due to my own bony frame.</t>
  </si>
  <si>
    <t>Slow for subtitles to load at start of each epidode of Full House Korean Drama</t>
  </si>
  <si>
    <t xml:space="preserve">Just  the bottom seat cushion </t>
  </si>
  <si>
    <t>The lack of a small pillow to support my neck &amp; lower back and the lack of foot rests &amp; arm rests.</t>
  </si>
  <si>
    <t>The screen was too near. Viewing discomfort.</t>
  </si>
  <si>
    <t>The texture of the seat material. Eg it can be warm if it is leather</t>
  </si>
  <si>
    <t>The level of the Screen.</t>
  </si>
  <si>
    <t>Hardness of the seat</t>
  </si>
  <si>
    <t xml:space="preserve">Would b good to have some built  in massage function </t>
  </si>
  <si>
    <t xml:space="preserve">More free movements or time to move around more </t>
  </si>
  <si>
    <t>Sitting too long in certain positions. Cannot adjust the seat.</t>
  </si>
  <si>
    <t>No, except doing ratings interval too short</t>
  </si>
  <si>
    <t>The wall at side too thin. Would be better if can lean.</t>
  </si>
  <si>
    <t xml:space="preserve">The upper part of the seat, my shoulders cannot rest well. </t>
  </si>
  <si>
    <t xml:space="preserve">No issues. Good to have the guide on the rating discomfort. </t>
  </si>
  <si>
    <t xml:space="preserve">Problem with juggling between selecting shows and filling up the form. </t>
  </si>
  <si>
    <t>No arm rest</t>
  </si>
  <si>
    <t>How long you sit</t>
  </si>
  <si>
    <t xml:space="preserve">Hip </t>
  </si>
  <si>
    <t>Need to have blood circulation on the foot</t>
  </si>
  <si>
    <t>Firm</t>
  </si>
  <si>
    <t>The lower back not supported. Using my lower legs to resist slipping down.</t>
  </si>
  <si>
    <t>Firmness of cushion, pillow to support lower back, arm rest</t>
  </si>
  <si>
    <t>Area to move about. Distraction such as movie and reading</t>
  </si>
  <si>
    <t>Mainly back n buttocka</t>
  </si>
  <si>
    <t>Neck ache</t>
  </si>
  <si>
    <t>Neck cushions will be good</t>
  </si>
  <si>
    <t xml:space="preserve">Not able to readjust the reclining of seats </t>
  </si>
  <si>
    <t>Lower back</t>
  </si>
  <si>
    <t>More frequentl toilet break</t>
  </si>
  <si>
    <t xml:space="preserve">Forced to hold bladder until break time </t>
  </si>
  <si>
    <t xml:space="preserve">More in bladder control </t>
  </si>
  <si>
    <t xml:space="preserve">Quite comfy </t>
  </si>
  <si>
    <t xml:space="preserve">Noisy due to airplane noise </t>
  </si>
  <si>
    <t xml:space="preserve">The seat is not very comfortable </t>
  </si>
  <si>
    <t xml:space="preserve">The screen that appears to lock in the comfort level was too fast n needs stay longer </t>
  </si>
  <si>
    <t>No issue</t>
  </si>
  <si>
    <t xml:space="preserve">Long sitting </t>
  </si>
  <si>
    <t>Maybe neck cushion</t>
  </si>
  <si>
    <t>Sitting too long and too hot. Neck tired</t>
  </si>
  <si>
    <t>Support for neck especially for long distance</t>
  </si>
  <si>
    <t>Sitting on a same position for a long period.</t>
  </si>
  <si>
    <t>The ear bud keeps falling off my ear and the wired keeps getting to my way.</t>
  </si>
  <si>
    <t xml:space="preserve">White noise, dry cabin air and needed to go to the toilet at only restricted timing. </t>
  </si>
  <si>
    <t>If the seat can be equipped with an adjustable temperature to keep warm will be a nice touch.</t>
  </si>
  <si>
    <t>Provide pillows</t>
  </si>
  <si>
    <t>Seats  too hard . Can’t change seats position.</t>
  </si>
  <si>
    <t>Subtitle didn’t show .</t>
  </si>
  <si>
    <t xml:space="preserve">More cushion needed </t>
  </si>
  <si>
    <t xml:space="preserve">Need to be more spacious </t>
  </si>
  <si>
    <t>Maybe Seating in a position too long</t>
  </si>
  <si>
    <t>N.A</t>
  </si>
  <si>
    <t>Have the seat cushion more comfortable</t>
  </si>
  <si>
    <t>Lack of movement. Staying still for too long, forgetting to stretch or shift posture</t>
  </si>
  <si>
    <t xml:space="preserve">No issues </t>
  </si>
  <si>
    <t>None relating to the equipment. The only issue was my spectacles wasn't clear at certain angle</t>
  </si>
  <si>
    <t>Watched too much tv, a bit of eye strain now</t>
  </si>
  <si>
    <t>The curvature of the seat. The curvature should support the back and not allow the body to hunch over. This seat is not too bad. The real seats in the airplane economy class causes me to hunch over</t>
  </si>
  <si>
    <t>The real flights have a smell... airplane smell... I don't like it. This room is good. No smell</t>
  </si>
  <si>
    <t>Feet is not touching the ground.</t>
  </si>
  <si>
    <t>Lower back feels achy after &amp;gt;5hrs of sitting down</t>
  </si>
  <si>
    <t xml:space="preserve">Unable to rest the arms properly, neck ache slightly </t>
  </si>
  <si>
    <t>Neck rest , doesn’t feel warm after long hours of sitting</t>
  </si>
  <si>
    <t>Neck cushion</t>
  </si>
  <si>
    <t>Uneven height of arm rests one higher than the other</t>
  </si>
  <si>
    <t>Arm rest height difference on left and right side</t>
  </si>
  <si>
    <t>Long duration of sitting down</t>
  </si>
  <si>
    <t xml:space="preserve">Armrest not low enough and lack of support for the headrest </t>
  </si>
  <si>
    <t>The shape and support of seat cushion</t>
  </si>
  <si>
    <t>Simulate shape and support of massage chair</t>
  </si>
  <si>
    <t>Sit for long period of time</t>
  </si>
  <si>
    <t>No back support</t>
  </si>
  <si>
    <t>More padded areas</t>
  </si>
  <si>
    <t>Provide back rest.</t>
  </si>
  <si>
    <t>Long sitting in one position</t>
  </si>
  <si>
    <t>The left arm rest was a little too high and narrow.</t>
  </si>
  <si>
    <t>Adjustable head rest</t>
  </si>
  <si>
    <t>The neck area</t>
  </si>
  <si>
    <t xml:space="preserve">Legs angle </t>
  </si>
  <si>
    <t xml:space="preserve">Neck support is Important </t>
  </si>
  <si>
    <t>Centralised legs stretch will be good</t>
  </si>
  <si>
    <t>The angle of the seat was fixed. I could not adjust it. In actual flights, I could adjust it</t>
  </si>
  <si>
    <t xml:space="preserve">Cannot adjust to a lower angle. It was fixed at quite an upright position. </t>
  </si>
  <si>
    <t>To allow adjustment of the angle of seats during the 6.5 hours</t>
  </si>
  <si>
    <t>The seat can not support my back</t>
  </si>
  <si>
    <t xml:space="preserve">No cushion to support my back. When I rest my legs on leg rest, my back totally unsupported </t>
  </si>
  <si>
    <t xml:space="preserve">Need back support </t>
  </si>
  <si>
    <t>More cushions</t>
  </si>
  <si>
    <t>Enable to adjust seat</t>
  </si>
  <si>
    <t xml:space="preserve">No extra pillow. </t>
  </si>
  <si>
    <t>Your simulation seat arm rest not balance. Left side too short</t>
  </si>
  <si>
    <t>No support at my back</t>
  </si>
  <si>
    <t>Too narrow of the space on my right side arm rest</t>
  </si>
  <si>
    <t>Thicker cushion on my back</t>
  </si>
  <si>
    <t>There was no neck support</t>
  </si>
  <si>
    <t xml:space="preserve">There was no option to record neck discomfort </t>
  </si>
  <si>
    <t>The foot rest is not parallel with the seat, hence it did not allow optimum rest</t>
  </si>
  <si>
    <t>Neck support, better seat angle</t>
  </si>
  <si>
    <t>The space to move the legs around</t>
  </si>
  <si>
    <t>Besides the chair dimension, Arm rest height and area are pretty good</t>
  </si>
  <si>
    <t xml:space="preserve">The humidity level </t>
  </si>
  <si>
    <t>Lack of movement</t>
  </si>
  <si>
    <t>Consider monitoring neck discomfort too</t>
  </si>
  <si>
    <t>The seat alignment, right side arm rest is too high and small, ear piece is very uncomfortable to wear</t>
  </si>
  <si>
    <t>Ear piece is not friendly user</t>
  </si>
  <si>
    <t>Cabin space too small for taller passenger</t>
  </si>
  <si>
    <t xml:space="preserve">One rating was done twice because it was not submitted. </t>
  </si>
  <si>
    <t>No lumber support</t>
  </si>
  <si>
    <t>Not enough option</t>
  </si>
  <si>
    <t xml:space="preserve">Buttocks  &amp; upper hips </t>
  </si>
  <si>
    <t>Initially yes but later ok.</t>
  </si>
  <si>
    <t>Good</t>
  </si>
  <si>
    <t xml:space="preserve">Seat cushion </t>
  </si>
  <si>
    <t xml:space="preserve">may be have the Chinese </t>
  </si>
  <si>
    <t>Seated for long hours</t>
  </si>
  <si>
    <t>Butt pain</t>
  </si>
  <si>
    <t>Softer seat cushion</t>
  </si>
  <si>
    <t>Pro long sitting quite normal nothing</t>
  </si>
  <si>
    <t>Would be nice to have an arch in the centre like car seats</t>
  </si>
  <si>
    <t>Not really. Key is to take 5 mins walk intermittently that greatly reduces any discomfort</t>
  </si>
  <si>
    <t>So far is good</t>
  </si>
  <si>
    <t>Had to move my body to the left so my right leg is not slanted at an angle to stretch when seated</t>
  </si>
  <si>
    <t xml:space="preserve">The lack of neck support and limitation to 30deg </t>
  </si>
  <si>
    <t>Controller has a slight low batt situation but overall ok</t>
  </si>
  <si>
    <t>Thermal discomfort,Restricted space for movement,Seat angle,Others (please specify):</t>
  </si>
  <si>
    <t>Slight discomfort from earphones bud size</t>
  </si>
  <si>
    <t>Possibility to elevate the cushion height/level for better comfort?</t>
  </si>
  <si>
    <t>A support cushion for the lower back</t>
  </si>
  <si>
    <t>Sit too long without getting up to stretch. On flights, I will normally get put of my seat about every half hour to stretch .</t>
  </si>
  <si>
    <t>A little claustophobic for me. Arm rest too high.</t>
  </si>
  <si>
    <t>Distance to screen</t>
  </si>
  <si>
    <t>Depth to sit cross legged</t>
  </si>
  <si>
    <t>Siting too long duration</t>
  </si>
  <si>
    <t>My butt area</t>
  </si>
  <si>
    <t>The width of seat is seems need to make little  bigger and seat  bit softer for enjoy for sitting for long duration</t>
  </si>
  <si>
    <t xml:space="preserve">No leg rest </t>
  </si>
  <si>
    <t xml:space="preserve">Body experienced aches from limited room, sitting at one position </t>
  </si>
  <si>
    <t xml:space="preserve">Arm rest , space in between passenger </t>
  </si>
  <si>
    <t>seating position</t>
  </si>
  <si>
    <t>the remote control not very user friendly</t>
  </si>
  <si>
    <t>extra cushion</t>
  </si>
  <si>
    <t xml:space="preserve">Nice movie during the experience. </t>
  </si>
  <si>
    <t xml:space="preserve">Personal preference is orchestra concert. </t>
  </si>
  <si>
    <t xml:space="preserve">Engine noise </t>
  </si>
  <si>
    <t xml:space="preserve">Lighting levels </t>
  </si>
  <si>
    <t>Long hours sitting . Cannot adjust the seat</t>
  </si>
  <si>
    <t xml:space="preserve">The light should be adjustable </t>
  </si>
  <si>
    <t xml:space="preserve">Probably continue long hours sitting </t>
  </si>
  <si>
    <t xml:space="preserve">Feel slightly warm after long hours sitting </t>
  </si>
  <si>
    <t xml:space="preserve">Can add lower back support cushioning </t>
  </si>
  <si>
    <t xml:space="preserve">If the seat can adjust more </t>
  </si>
  <si>
    <t xml:space="preserve">The leg room especially and my lower back. </t>
  </si>
  <si>
    <t xml:space="preserve">Must have a thick cushion. </t>
  </si>
  <si>
    <t>Boredom. Leg rest not raised</t>
  </si>
  <si>
    <t>Nope. Touchscreen would be better</t>
  </si>
  <si>
    <t xml:space="preserve">No neck support. No leg support </t>
  </si>
  <si>
    <t>Wider foot rest. Elevated calf support</t>
  </si>
  <si>
    <t>Long period of inactivity</t>
  </si>
  <si>
    <t>Amount of soace around the seat</t>
  </si>
  <si>
    <t>More space for movement</t>
  </si>
  <si>
    <t>Lack of neck and lumbar support. Can be quite tiring</t>
  </si>
  <si>
    <t xml:space="preserve">Long duration of seating and no able to change angle of seat. </t>
  </si>
  <si>
    <t>Cushion to let the lower back and hip area</t>
  </si>
  <si>
    <t xml:space="preserve">Arm rest must be at the right height; the screen facing the middle of the seat; no blockage to allow both legs to fully stretch forward. </t>
  </si>
  <si>
    <t xml:space="preserve">Unable to fully stretch the left leg; arm rest is too high </t>
  </si>
  <si>
    <t xml:space="preserve">Thick cushion on the seat </t>
  </si>
  <si>
    <t xml:space="preserve">Need to provide cushion to support the back </t>
  </si>
  <si>
    <t xml:space="preserve">Prolonged seating </t>
  </si>
  <si>
    <t xml:space="preserve">Neck support would help. </t>
  </si>
  <si>
    <t xml:space="preserve">The leg rest seems angled to one side </t>
  </si>
  <si>
    <t>Unable to adjust seat position resulting head and neck always in same position. Right leg unable to stretch straight like the left as the opening in front is not wide enough.</t>
  </si>
  <si>
    <t>None.</t>
  </si>
  <si>
    <t>None other than those mentioned above.</t>
  </si>
  <si>
    <t>The foot well was slightly to the left and was not aligned with the seat, so my body was not straight. It made me uncomfortable, as I kept on adjusting my position.</t>
  </si>
  <si>
    <t>No issues recording the readings, but I felt numbness in my lower leg, which could have been due to the long pressure on the thighs. I indicated as thigh discomfort as it was the only location available.</t>
  </si>
  <si>
    <t>In flight entertainment was easy to use.</t>
  </si>
  <si>
    <t>The foot well where we place the foot and the partition on my left felt a little restrictive. This is very important: there was no elevated headrest to rest my head, it was very comfortable and caused tension in my neck.</t>
  </si>
  <si>
    <t xml:space="preserve">While the width is important, the length is also important. </t>
  </si>
  <si>
    <t>I didn't get to use the legrest, but I believe it will ease the discomfort.</t>
  </si>
  <si>
    <t xml:space="preserve">Not able to adjust the seat after the study started and the earpiece is hurting my ear. </t>
  </si>
  <si>
    <t>The earpiece</t>
  </si>
  <si>
    <t>The material of the seat</t>
  </si>
  <si>
    <t>The smell of the environment</t>
  </si>
  <si>
    <t>Nothing</t>
  </si>
  <si>
    <t>Nothing, all is good</t>
  </si>
  <si>
    <t>Armrest too close so hand movements restricted. Not much space to extend the legs.</t>
  </si>
  <si>
    <t>Head can't rest easily on seat. Have to tilt my head back to touch the seat.</t>
  </si>
  <si>
    <t>Toilet break too short or can more more short breaks just to stand and stretch.</t>
  </si>
  <si>
    <t>Pain at the lower back and pelvis area</t>
  </si>
  <si>
    <t xml:space="preserve">Pillow and blanket to be provided. </t>
  </si>
  <si>
    <t>Left leg stretch is limited on left panel, upper button discomfort after certain duration</t>
  </si>
  <si>
    <t>wider left to right space to stretch legs</t>
  </si>
  <si>
    <t xml:space="preserve">I didn’t feel much discomfort at all as I had enough space to move around the shift my positioning </t>
  </si>
  <si>
    <t xml:space="preserve">Maybe a way tie regular the temperature? It was slightly chilly but I had a jacket </t>
  </si>
  <si>
    <t>Heat from the seat</t>
  </si>
  <si>
    <t>The seat cushion does not support my lower back and the lower hip does not have enough support.</t>
  </si>
  <si>
    <t>The material of the seat, I prefer smooth leather than fabric.</t>
  </si>
  <si>
    <t>Lower back could have more support.</t>
  </si>
  <si>
    <t>No pillow. Fixed position. Unadjusted head rest.</t>
  </si>
  <si>
    <t xml:space="preserve">Pillow </t>
  </si>
  <si>
    <t xml:space="preserve">Noise and no arm rest </t>
  </si>
  <si>
    <t xml:space="preserve">Low humidity, need lip balm </t>
  </si>
  <si>
    <t>The position of the seat, the height of the tv</t>
  </si>
  <si>
    <t>The controller could not move the selection sideways. It could only scrol up or down.</t>
  </si>
  <si>
    <t>The seat texture, the headrest are very important especially for a long haul flight</t>
  </si>
  <si>
    <t xml:space="preserve">The positioning of the seat and my legs </t>
  </si>
  <si>
    <t xml:space="preserve">The softness of the cushion </t>
  </si>
  <si>
    <t xml:space="preserve">Allow us to recline the seats further </t>
  </si>
  <si>
    <t>inability to adjust the seating position, tv screen is too close to the head</t>
  </si>
  <si>
    <t xml:space="preserve">Not really. Just slight numb feeling and sore feeling on the buttocks </t>
  </si>
  <si>
    <t>Not really. Just the screen is not positioned at the center of the vision, and also the distance is too close (probably also the monitor is larger)</t>
  </si>
  <si>
    <t xml:space="preserve">The leg space is not positioned properly in line with the seat, so it’s a bit uncomfortable </t>
  </si>
  <si>
    <t>positioning of tv screen, leg space and the seat itself all are not in line</t>
  </si>
  <si>
    <t xml:space="preserve">Sitting for prolonged period </t>
  </si>
  <si>
    <t>Engine noise simulation is quite loud</t>
  </si>
  <si>
    <t>Sit too long</t>
  </si>
  <si>
    <t>Need to hold my pee</t>
  </si>
  <si>
    <t>Thermal warming seat</t>
  </si>
  <si>
    <t>Food as distraction</t>
  </si>
  <si>
    <t>Not bad</t>
  </si>
  <si>
    <t>Very good</t>
  </si>
  <si>
    <t>Angle adjustment</t>
  </si>
  <si>
    <t>Addition cushion</t>
  </si>
  <si>
    <t>Must be inline with body</t>
  </si>
  <si>
    <t>Increase max recline may make more comfortable</t>
  </si>
  <si>
    <t>No neck support.</t>
  </si>
  <si>
    <t>The keypad is not sensitive at times.</t>
  </si>
  <si>
    <t>Not familiar with navigating using the remote.</t>
  </si>
  <si>
    <t>Mainly sitting for so long, but the seats were really comfortable so i only had very minor discomfort on my right side of body</t>
  </si>
  <si>
    <t>It would be good if the footwell was wider</t>
  </si>
  <si>
    <t>Body aches and tightness of the body</t>
  </si>
  <si>
    <t>Feeling fatigue and tightness of the body</t>
  </si>
  <si>
    <t xml:space="preserve">More time to move around and stretching </t>
  </si>
  <si>
    <t>Air was dry</t>
  </si>
  <si>
    <t>The 2 hours per slot restriction</t>
  </si>
  <si>
    <t>Sitting for more an hour without any movements, there numbness on the back and legs which caused discomfort</t>
  </si>
  <si>
    <t>Seat cushion will helps to ease the discomfort to certain extent..</t>
  </si>
  <si>
    <t>The abv states just fine.</t>
  </si>
  <si>
    <t>Not other factors.</t>
  </si>
  <si>
    <t>Staying in a single position for too long, which caused a bit of ache.</t>
  </si>
  <si>
    <t>The smell in the cabin.</t>
  </si>
  <si>
    <t>The smell in the cabin feels very leathery at times.</t>
  </si>
  <si>
    <t>sitting too long in one position and not able to stand up and move around.</t>
  </si>
  <si>
    <t>Headrest should have both sides to prevent head from moving out</t>
  </si>
  <si>
    <t xml:space="preserve">Better arm rest and cushions </t>
  </si>
  <si>
    <t>Subject</t>
  </si>
  <si>
    <t>1)Armrests too high and not forward enough to rest my arms comfortably.
2) Staying in the seat in the same position for long period
3) Lack of neck support and side head rest support causing strain on neck
4) Seats were slightly stiff
5) Leg well was slightly off centre</t>
  </si>
  <si>
    <t>1)The neck has no support
2)The lower back has no support.
3)Feels a bit warm and uncomfortable
4)Seat does not have a nice firm padding
5) There is no head pad that I can lean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</si>
</sst>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rial"/>
      <family val="2"/>
    </font>
    <font>
      <b/>
      <sz val="11"/>
      <name val="Calibri"/>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applyAlignment="1">
      <alignment horizontal="center" vertical="center"/>
    </xf>
    <xf numFmtId="0" fontId="16" fillId="0" borderId="0" xfId="0" applyFont="1"/>
    <xf numFmtId="0" fontId="16" fillId="33" borderId="0" xfId="0" applyFont="1" applyFill="1" applyAlignment="1">
      <alignment horizontal="center" vertical="center"/>
    </xf>
    <xf numFmtId="0" fontId="0" fillId="33" borderId="0" xfId="0" applyFill="1"/>
    <xf numFmtId="0" fontId="18" fillId="0" borderId="0" xfId="0" applyFont="1"/>
    <xf numFmtId="2" fontId="0" fillId="0" borderId="0" xfId="0" applyNumberFormat="1"/>
    <xf numFmtId="9" fontId="0" fillId="0" borderId="0" xfId="42" applyFont="1"/>
    <xf numFmtId="20" fontId="0" fillId="0" borderId="0" xfId="0" applyNumberFormat="1"/>
    <xf numFmtId="0" fontId="19" fillId="0" borderId="10" xfId="0" applyFont="1" applyBorder="1" applyAlignment="1">
      <alignment horizontal="center" vertical="top"/>
    </xf>
    <xf numFmtId="0" fontId="0" fillId="34" borderId="0" xfId="0" applyFill="1"/>
    <xf numFmtId="0" fontId="0" fillId="0" borderId="0" xfId="0" applyAlignment="1">
      <alignment vertical="center" wrapText="1"/>
    </xf>
    <xf numFmtId="0" fontId="0" fillId="0" borderId="0" xfId="0" applyAlignment="1">
      <alignment wrapText="1"/>
    </xf>
    <xf numFmtId="0" fontId="0" fillId="0" borderId="0" xfId="0" applyFill="1" applyAlignment="1">
      <alignment horizontal="center" vertical="center"/>
    </xf>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oo gupta" refreshedDate="45733.97186597222" createdVersion="8" refreshedVersion="8" minRefreshableVersion="3" recordCount="209" xr:uid="{1CF2746F-B2E9-4607-9530-EBDB368D8D6C}">
  <cacheSource type="worksheet">
    <worksheetSource ref="A1:AY1048576" sheet="df_ratings_all"/>
  </cacheSource>
  <cacheFields count="49">
    <cacheField name="rating1" numFmtId="0">
      <sharedItems containsString="0" containsBlank="1" containsNumber="1" containsInteger="1" minValue="10" maxValue="68"/>
    </cacheField>
    <cacheField name="rating2" numFmtId="0">
      <sharedItems containsString="0" containsBlank="1" containsNumber="1" containsInteger="1" minValue="10" maxValue="66"/>
    </cacheField>
    <cacheField name="rating3" numFmtId="0">
      <sharedItems containsString="0" containsBlank="1" containsNumber="1" containsInteger="1" minValue="10" maxValue="65"/>
    </cacheField>
    <cacheField name="rating4" numFmtId="0">
      <sharedItems containsString="0" containsBlank="1" containsNumber="1" containsInteger="1" minValue="10" maxValue="59"/>
    </cacheField>
    <cacheField name="rating5" numFmtId="0">
      <sharedItems containsString="0" containsBlank="1" containsNumber="1" containsInteger="1" minValue="10" maxValue="60"/>
    </cacheField>
    <cacheField name="rating6" numFmtId="0">
      <sharedItems containsString="0" containsBlank="1" containsNumber="1" containsInteger="1" minValue="10" maxValue="60"/>
    </cacheField>
    <cacheField name="rating7" numFmtId="0">
      <sharedItems containsString="0" containsBlank="1" containsNumber="1" containsInteger="1" minValue="10" maxValue="60"/>
    </cacheField>
    <cacheField name="rating8" numFmtId="0">
      <sharedItems containsString="0" containsBlank="1" containsNumber="1" containsInteger="1" minValue="10" maxValue="66"/>
    </cacheField>
    <cacheField name="rating9" numFmtId="0">
      <sharedItems containsString="0" containsBlank="1" containsNumber="1" containsInteger="1" minValue="10" maxValue="64"/>
    </cacheField>
    <cacheField name="rating10" numFmtId="0">
      <sharedItems containsString="0" containsBlank="1" containsNumber="1" containsInteger="1" minValue="10" maxValue="61"/>
    </cacheField>
    <cacheField name="rating11" numFmtId="0">
      <sharedItems containsString="0" containsBlank="1" containsNumber="1" containsInteger="1" minValue="10" maxValue="62"/>
    </cacheField>
    <cacheField name="rating12" numFmtId="0">
      <sharedItems containsString="0" containsBlank="1" containsNumber="1" containsInteger="1" minValue="10" maxValue="70"/>
    </cacheField>
    <cacheField name="rating13" numFmtId="0">
      <sharedItems containsString="0" containsBlank="1" containsNumber="1" containsInteger="1" minValue="10" maxValue="70"/>
    </cacheField>
    <cacheField name="rating14" numFmtId="0">
      <sharedItems containsString="0" containsBlank="1" containsNumber="1" containsInteger="1" minValue="10" maxValue="70"/>
    </cacheField>
    <cacheField name="rating15" numFmtId="0">
      <sharedItems containsString="0" containsBlank="1" containsNumber="1" containsInteger="1" minValue="10" maxValue="68"/>
    </cacheField>
    <cacheField name="rating16" numFmtId="0">
      <sharedItems containsString="0" containsBlank="1" containsNumber="1" containsInteger="1" minValue="10" maxValue="72"/>
    </cacheField>
    <cacheField name="rating17" numFmtId="0">
      <sharedItems containsString="0" containsBlank="1" containsNumber="1" containsInteger="1" minValue="10" maxValue="73"/>
    </cacheField>
    <cacheField name="rating18" numFmtId="0">
      <sharedItems containsString="0" containsBlank="1" containsNumber="1" containsInteger="1" minValue="10" maxValue="80"/>
    </cacheField>
    <cacheField name="rating19" numFmtId="0">
      <sharedItems containsString="0" containsBlank="1" containsNumber="1" containsInteger="1" minValue="10" maxValue="80"/>
    </cacheField>
    <cacheField name="rating20" numFmtId="0">
      <sharedItems containsString="0" containsBlank="1" containsNumber="1" containsInteger="1" minValue="10" maxValue="80"/>
    </cacheField>
    <cacheField name="rating21" numFmtId="0">
      <sharedItems containsString="0" containsBlank="1" containsNumber="1" containsInteger="1" minValue="10" maxValue="80"/>
    </cacheField>
    <cacheField name="subject" numFmtId="0">
      <sharedItems containsBlank="1"/>
    </cacheField>
    <cacheField name="variance_rating" numFmtId="0">
      <sharedItems containsString="0" containsBlank="1" containsNumber="1" minValue="0" maxValue="344.85"/>
    </cacheField>
    <cacheField name="Seat_angle" numFmtId="0">
      <sharedItems containsBlank="1" containsMixedTypes="1" containsNumber="1" minValue="12" maxValue="41"/>
    </cacheField>
    <cacheField name="Weight" numFmtId="0">
      <sharedItems containsString="0" containsBlank="1" containsNumber="1" minValue="40" maxValue="140"/>
    </cacheField>
    <cacheField name="Age" numFmtId="0">
      <sharedItems containsString="0" containsBlank="1" containsNumber="1" containsInteger="1" minValue="38" maxValue="70"/>
    </cacheField>
    <cacheField name="Body Fat (%)" numFmtId="0">
      <sharedItems containsString="0" containsBlank="1" containsNumber="1" minValue="10.8" maxValue="41.3"/>
    </cacheField>
    <cacheField name="Visceral Fat" numFmtId="0">
      <sharedItems containsString="0" containsBlank="1" containsNumber="1" minValue="0.5" maxValue="30"/>
    </cacheField>
    <cacheField name="Resting Metabolism (kcal)" numFmtId="0">
      <sharedItems containsString="0" containsBlank="1" containsNumber="1" minValue="956" maxValue="2183"/>
    </cacheField>
    <cacheField name="Skeletal Muscle(%)" numFmtId="0">
      <sharedItems containsString="0" containsBlank="1" containsNumber="1" minValue="19.399999999999999" maxValue="37.200000000000003"/>
    </cacheField>
    <cacheField name="Skeletal Muscle?ARMS?(%)" numFmtId="0">
      <sharedItems containsString="0" containsBlank="1" containsNumber="1" minValue="17.7" maxValue="41.4"/>
    </cacheField>
    <cacheField name="Skeletal Muscle?TRUNK?(%)" numFmtId="0">
      <sharedItems containsString="0" containsBlank="1" containsNumber="1" minValue="14.1" maxValue="31.4"/>
    </cacheField>
    <cacheField name="Skeletal Muscle?LEGS?(%)" numFmtId="0">
      <sharedItems containsString="0" containsBlank="1" containsNumber="1" minValue="31.2" maxValue="54.3"/>
    </cacheField>
    <cacheField name="Subcutaneous fat (%)" numFmtId="0">
      <sharedItems containsString="0" containsBlank="1" containsNumber="1" minValue="7.6" maxValue="38.700000000000003"/>
    </cacheField>
    <cacheField name="Subcutaneous fat?ARMS?(%)" numFmtId="0">
      <sharedItems containsString="0" containsBlank="1" containsNumber="1" minValue="11.3" maxValue="55"/>
    </cacheField>
    <cacheField name="Subcutaneous fat?TRUNK?(%)" numFmtId="0">
      <sharedItems containsString="0" containsBlank="1" containsNumber="1" minValue="6.2" maxValue="34.4"/>
    </cacheField>
    <cacheField name="Subcutaneous fat?LEGS?(%)" numFmtId="0">
      <sharedItems containsString="0" containsBlank="1" containsNumber="1" minValue="10.1" maxValue="52.5"/>
    </cacheField>
    <cacheField name="BMI" numFmtId="0">
      <sharedItems containsString="0" containsBlank="1" containsNumber="1" minValue="15.2" maxValue="38.700000000000003"/>
    </cacheField>
    <cacheField name="Average Hip width" numFmtId="0">
      <sharedItems containsString="0" containsBlank="1" containsNumber="1" minValue="31.05" maxValue="55.15"/>
    </cacheField>
    <cacheField name="Average Butt Knee" numFmtId="0">
      <sharedItems containsString="0" containsBlank="1" containsNumber="1" minValue="38.450000000000003" maxValue="54.9"/>
    </cacheField>
    <cacheField name="Average Popliteal" numFmtId="0">
      <sharedItems containsString="0" containsBlank="1" containsNumber="1" minValue="37.9" maxValue="53.6"/>
    </cacheField>
    <cacheField name="Height" numFmtId="0">
      <sharedItems containsString="0" containsBlank="1" containsNumber="1" minValue="141" maxValue="185"/>
    </cacheField>
    <cacheField name="Gender" numFmtId="0">
      <sharedItems containsBlank="1" count="3">
        <s v="Male"/>
        <s v="Female"/>
        <m/>
      </sharedItems>
    </cacheField>
    <cacheField name="past_flights" numFmtId="0">
      <sharedItems containsBlank="1" containsMixedTypes="1" containsNumber="1" containsInteger="1" minValue="0" maxValue="0"/>
    </cacheField>
    <cacheField name="sitting_duration" numFmtId="0">
      <sharedItems containsBlank="1"/>
    </cacheField>
    <cacheField name="Weight_status" numFmtId="0">
      <sharedItems containsBlank="1" count="4">
        <s v="Healthy"/>
        <s v="Overweight"/>
        <m/>
        <s v="Underweight" u="1"/>
      </sharedItems>
    </cacheField>
    <cacheField name="age_group" numFmtId="0">
      <sharedItems containsBlank="1" count="7">
        <s v="Below 53"/>
        <s v="Above 52"/>
        <m/>
        <s v="Below 55" u="1"/>
        <s v="Above 55" u="1"/>
        <s v="Below 51" u="1"/>
        <s v="Above 50" u="1"/>
      </sharedItems>
    </cacheField>
    <cacheField name="height_group" numFmtId="0">
      <sharedItems containsBlank="1" count="5">
        <s v="Above 166"/>
        <s v="Below 167"/>
        <m/>
        <s v="Above 161" u="1"/>
        <s v="Below 162" u="1"/>
      </sharedItems>
    </cacheField>
    <cacheField name="slope" numFmtId="0">
      <sharedItems containsString="0" containsBlank="1" containsNumber="1" minValue="-6.2E-2" maxValue="0.1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n v="10"/>
    <n v="10"/>
    <n v="10"/>
    <n v="10"/>
    <n v="11"/>
    <n v="11"/>
    <n v="11"/>
    <n v="10"/>
    <n v="12"/>
    <n v="12"/>
    <n v="13"/>
    <n v="15"/>
    <n v="13"/>
    <n v="13"/>
    <n v="12"/>
    <n v="16"/>
    <n v="12"/>
    <n v="15"/>
    <n v="18"/>
    <n v="17"/>
    <n v="20"/>
    <s v="A001"/>
    <n v="7.99"/>
    <n v="29"/>
    <n v="80"/>
    <n v="43"/>
    <n v="19.3"/>
    <n v="8"/>
    <n v="1798"/>
    <n v="35"/>
    <n v="38.299999999999997"/>
    <n v="28.5"/>
    <n v="52.2"/>
    <n v="13.6"/>
    <n v="17.5"/>
    <n v="12"/>
    <n v="17.100000000000001"/>
    <n v="23.4"/>
    <n v="41.2"/>
    <n v="49.5"/>
    <n v="53.6"/>
    <n v="185"/>
    <x v="0"/>
    <s v="1 to 5"/>
    <s v="6 to 9 hours"/>
    <x v="0"/>
    <x v="0"/>
    <x v="0"/>
    <n v="2.1999999999999999E-2"/>
  </r>
  <r>
    <n v="10"/>
    <n v="10"/>
    <n v="10"/>
    <n v="10"/>
    <n v="10"/>
    <n v="10"/>
    <n v="12"/>
    <n v="10"/>
    <n v="12"/>
    <n v="13"/>
    <n v="14"/>
    <n v="13"/>
    <n v="15"/>
    <n v="13"/>
    <n v="12"/>
    <n v="12"/>
    <n v="14"/>
    <n v="14"/>
    <n v="16"/>
    <n v="14"/>
    <n v="15"/>
    <s v="A002"/>
    <n v="3.75"/>
    <n v="32"/>
    <n v="75.7"/>
    <n v="44"/>
    <n v="14.9"/>
    <n v="6"/>
    <n v="1754"/>
    <n v="37.200000000000003"/>
    <n v="40"/>
    <n v="31.4"/>
    <n v="54.3"/>
    <n v="10.6"/>
    <n v="13.4"/>
    <n v="9.3000000000000007"/>
    <n v="12.7"/>
    <n v="22.1"/>
    <n v="40.1"/>
    <n v="47"/>
    <n v="50.5"/>
    <n v="185"/>
    <x v="0"/>
    <s v="1 to 5"/>
    <s v="3 to 6 hours"/>
    <x v="0"/>
    <x v="0"/>
    <x v="0"/>
    <n v="1.4999999999999999E-2"/>
  </r>
  <r>
    <n v="26"/>
    <n v="33"/>
    <n v="30"/>
    <n v="30"/>
    <n v="31"/>
    <n v="31"/>
    <n v="31"/>
    <n v="14"/>
    <n v="17"/>
    <n v="19"/>
    <n v="21"/>
    <n v="29"/>
    <n v="33"/>
    <n v="25"/>
    <n v="23"/>
    <n v="25"/>
    <n v="31"/>
    <n v="33"/>
    <n v="30"/>
    <n v="27"/>
    <n v="29"/>
    <s v="A004"/>
    <n v="28.62"/>
    <n v="32"/>
    <n v="57.6"/>
    <n v="50"/>
    <n v="30.7"/>
    <n v="4"/>
    <n v="1232"/>
    <n v="25.5"/>
    <n v="27.6"/>
    <n v="19.8"/>
    <n v="37.6"/>
    <n v="25"/>
    <n v="41.8"/>
    <n v="21.6"/>
    <n v="35.1"/>
    <n v="21.2"/>
    <n v="41.35"/>
    <n v="45.45"/>
    <n v="45.85"/>
    <n v="165"/>
    <x v="1"/>
    <n v="0"/>
    <s v="0 to 3 hours"/>
    <x v="0"/>
    <x v="0"/>
    <x v="1"/>
    <n v="2E-3"/>
  </r>
  <r>
    <n v="13"/>
    <n v="12"/>
    <n v="12"/>
    <n v="16"/>
    <n v="19"/>
    <n v="27"/>
    <n v="29"/>
    <n v="27"/>
    <n v="30"/>
    <n v="31"/>
    <n v="31"/>
    <n v="30"/>
    <n v="31"/>
    <n v="31"/>
    <n v="28"/>
    <n v="32"/>
    <n v="33"/>
    <n v="33"/>
    <n v="33"/>
    <n v="33"/>
    <n v="33"/>
    <s v="A005"/>
    <n v="53.46"/>
    <n v="24"/>
    <n v="70.099999999999994"/>
    <n v="50"/>
    <n v="34.5"/>
    <n v="9"/>
    <n v="1410"/>
    <n v="24.7"/>
    <n v="24"/>
    <n v="18"/>
    <n v="38.4"/>
    <n v="31.2"/>
    <n v="45.4"/>
    <n v="27"/>
    <n v="40.5"/>
    <n v="27"/>
    <n v="42.65"/>
    <n v="45.65"/>
    <n v="42.55"/>
    <n v="161"/>
    <x v="1"/>
    <s v="1 to 5"/>
    <s v="6 to 9 hours"/>
    <x v="1"/>
    <x v="0"/>
    <x v="1"/>
    <n v="5.7000000000000002E-2"/>
  </r>
  <r>
    <n v="28"/>
    <n v="24"/>
    <n v="26"/>
    <n v="29"/>
    <n v="32"/>
    <n v="30"/>
    <n v="27"/>
    <n v="22"/>
    <n v="27"/>
    <n v="28"/>
    <n v="32"/>
    <n v="29"/>
    <n v="28"/>
    <n v="27"/>
    <n v="22"/>
    <n v="27"/>
    <n v="28"/>
    <n v="27"/>
    <n v="32"/>
    <n v="31"/>
    <n v="32"/>
    <s v="A006"/>
    <n v="8.3800000000000008"/>
    <n v="17"/>
    <n v="64"/>
    <n v="53"/>
    <n v="34.299999999999997"/>
    <n v="7.5"/>
    <n v="1314"/>
    <n v="24.1"/>
    <n v="24.6"/>
    <n v="17.899999999999999"/>
    <n v="37.1"/>
    <n v="29.6"/>
    <n v="45.4"/>
    <n v="25.9"/>
    <n v="39.4"/>
    <n v="25"/>
    <n v="40.799999999999997"/>
    <n v="45"/>
    <n v="43.75"/>
    <n v="160"/>
    <x v="1"/>
    <s v="1 to 5"/>
    <s v="More than 9 hours"/>
    <x v="1"/>
    <x v="1"/>
    <x v="1"/>
    <n v="7.0000000000000001E-3"/>
  </r>
  <r>
    <n v="10"/>
    <n v="10"/>
    <n v="10"/>
    <n v="10"/>
    <n v="11"/>
    <n v="11"/>
    <n v="11"/>
    <n v="10"/>
    <n v="10"/>
    <n v="11"/>
    <n v="12"/>
    <n v="12"/>
    <n v="15"/>
    <n v="13"/>
    <n v="12"/>
    <n v="12"/>
    <n v="14"/>
    <n v="14"/>
    <n v="15"/>
    <n v="14"/>
    <n v="15"/>
    <s v="A007"/>
    <n v="3.24"/>
    <n v="30"/>
    <n v="81.7"/>
    <n v="41"/>
    <n v="29.1"/>
    <n v="15"/>
    <n v="1753"/>
    <n v="29.2"/>
    <n v="35.1"/>
    <n v="21.3"/>
    <n v="46.6"/>
    <n v="20.5"/>
    <n v="27.7"/>
    <n v="18.8"/>
    <n v="28.1"/>
    <n v="28.6"/>
    <n v="49.6"/>
    <n v="49.6"/>
    <n v="47.3"/>
    <n v="169"/>
    <x v="0"/>
    <s v="1 to 5"/>
    <s v="3 to 6 hours"/>
    <x v="1"/>
    <x v="0"/>
    <x v="0"/>
    <n v="1.4999999999999999E-2"/>
  </r>
  <r>
    <n v="10"/>
    <n v="16"/>
    <n v="16"/>
    <n v="22"/>
    <n v="24"/>
    <n v="25"/>
    <n v="25"/>
    <n v="27"/>
    <n v="25"/>
    <n v="28"/>
    <n v="29"/>
    <n v="31"/>
    <n v="32"/>
    <n v="37"/>
    <n v="36"/>
    <n v="39"/>
    <n v="39"/>
    <n v="41"/>
    <n v="43"/>
    <n v="42"/>
    <n v="39"/>
    <s v="A008"/>
    <n v="83.2"/>
    <n v="31"/>
    <n v="79.2"/>
    <n v="44"/>
    <n v="35.9"/>
    <n v="11"/>
    <n v="1682"/>
    <n v="27.7"/>
    <n v="34.9"/>
    <n v="18.2"/>
    <n v="45.2"/>
    <n v="24.1"/>
    <n v="35.700000000000003"/>
    <n v="21.6"/>
    <n v="36.4"/>
    <n v="25"/>
    <n v="41.8"/>
    <n v="54.9"/>
    <n v="51.6"/>
    <n v="178"/>
    <x v="0"/>
    <s v="1 to 5"/>
    <s v="3 to 6 hours"/>
    <x v="1"/>
    <x v="0"/>
    <x v="0"/>
    <n v="8.1000000000000003E-2"/>
  </r>
  <r>
    <n v="10"/>
    <n v="10"/>
    <n v="12"/>
    <n v="15"/>
    <n v="16"/>
    <n v="17"/>
    <n v="17"/>
    <n v="12"/>
    <n v="15"/>
    <n v="19"/>
    <n v="23"/>
    <n v="24"/>
    <n v="26"/>
    <n v="31"/>
    <n v="25"/>
    <n v="31"/>
    <n v="31"/>
    <n v="36"/>
    <n v="38"/>
    <n v="40"/>
    <n v="40"/>
    <s v="A009"/>
    <n v="96.28"/>
    <n v="24"/>
    <n v="61.4"/>
    <n v="42"/>
    <n v="37.1"/>
    <n v="7"/>
    <n v="1259"/>
    <n v="22.4"/>
    <n v="23.3"/>
    <n v="17"/>
    <n v="35.1"/>
    <n v="31.2"/>
    <n v="50.3"/>
    <n v="28"/>
    <n v="44.7"/>
    <n v="25.2"/>
    <n v="45.85"/>
    <n v="43"/>
    <n v="43.1"/>
    <n v="156"/>
    <x v="1"/>
    <s v="1 to 5"/>
    <s v="3 to 6 hours"/>
    <x v="1"/>
    <x v="0"/>
    <x v="1"/>
    <n v="8.6999999999999994E-2"/>
  </r>
  <r>
    <n v="10"/>
    <n v="10"/>
    <n v="10"/>
    <n v="10"/>
    <n v="10"/>
    <n v="10"/>
    <n v="10"/>
    <n v="10"/>
    <n v="10"/>
    <n v="10"/>
    <n v="10"/>
    <n v="10"/>
    <n v="10"/>
    <n v="10"/>
    <n v="10"/>
    <n v="10"/>
    <n v="10"/>
    <n v="10"/>
    <n v="10"/>
    <n v="10"/>
    <n v="10"/>
    <s v="A010"/>
    <n v="0"/>
    <n v="19"/>
    <n v="98"/>
    <n v="59"/>
    <n v="30.8"/>
    <n v="20"/>
    <n v="2003"/>
    <n v="29.1"/>
    <n v="33.5"/>
    <n v="20.8"/>
    <n v="46.5"/>
    <n v="21.9"/>
    <n v="26.7"/>
    <n v="20.2"/>
    <n v="27.4"/>
    <n v="30.6"/>
    <n v="46.55"/>
    <n v="52"/>
    <n v="53.1"/>
    <n v="179"/>
    <x v="0"/>
    <s v="More than 15"/>
    <s v="6 to 9 hours"/>
    <x v="1"/>
    <x v="1"/>
    <x v="0"/>
    <n v="0"/>
  </r>
  <r>
    <n v="10"/>
    <n v="11"/>
    <n v="12"/>
    <n v="12"/>
    <n v="12"/>
    <n v="13"/>
    <n v="14"/>
    <n v="14"/>
    <n v="14"/>
    <n v="13"/>
    <n v="13"/>
    <n v="13"/>
    <n v="12"/>
    <n v="13"/>
    <n v="14"/>
    <n v="13"/>
    <n v="13"/>
    <n v="13"/>
    <n v="13"/>
    <n v="13"/>
    <n v="13"/>
    <s v="A011"/>
    <n v="0.94"/>
    <n v="23"/>
    <n v="53"/>
    <n v="45"/>
    <n v="28.6"/>
    <n v="4"/>
    <n v="1167"/>
    <n v="25.8"/>
    <n v="29"/>
    <n v="20.3"/>
    <n v="38.299999999999997"/>
    <n v="24.4"/>
    <n v="39.200000000000003"/>
    <n v="20.5"/>
    <n v="33.6"/>
    <n v="21.8"/>
    <n v="36.35"/>
    <n v="46.95"/>
    <n v="43"/>
    <n v="156"/>
    <x v="1"/>
    <s v="1 to 5"/>
    <s v="3 to 6 hours"/>
    <x v="0"/>
    <x v="0"/>
    <x v="1"/>
    <n v="4.0000000000000001E-3"/>
  </r>
  <r>
    <n v="10"/>
    <n v="10"/>
    <n v="10"/>
    <n v="10"/>
    <n v="10"/>
    <n v="10"/>
    <n v="11"/>
    <n v="10"/>
    <n v="13"/>
    <n v="15"/>
    <n v="18"/>
    <n v="23"/>
    <n v="29"/>
    <n v="29"/>
    <n v="29"/>
    <n v="31"/>
    <n v="27"/>
    <n v="31"/>
    <n v="27"/>
    <n v="27"/>
    <n v="31"/>
    <s v="A012"/>
    <n v="77.010000000000005"/>
    <n v="25"/>
    <n v="70.7"/>
    <n v="54"/>
    <n v="31.6"/>
    <n v="15"/>
    <n v="1557"/>
    <n v="26.7"/>
    <n v="34.1"/>
    <n v="18.8"/>
    <n v="44.2"/>
    <n v="21.7"/>
    <n v="29.6"/>
    <n v="19.7"/>
    <n v="30.1"/>
    <n v="26.9"/>
    <n v="40.950000000000003"/>
    <n v="47.4"/>
    <n v="42.6"/>
    <n v="162"/>
    <x v="0"/>
    <s v="1 to 5"/>
    <s v="3 to 6 hours"/>
    <x v="1"/>
    <x v="1"/>
    <x v="1"/>
    <n v="7.2999999999999995E-2"/>
  </r>
  <r>
    <n v="10"/>
    <n v="10"/>
    <n v="12"/>
    <n v="14"/>
    <n v="18"/>
    <n v="18"/>
    <n v="18"/>
    <n v="10"/>
    <n v="12"/>
    <n v="14"/>
    <n v="18"/>
    <n v="18"/>
    <n v="18"/>
    <n v="20"/>
    <n v="10"/>
    <n v="14"/>
    <n v="14"/>
    <n v="18"/>
    <n v="22"/>
    <n v="22"/>
    <n v="22"/>
    <s v="A013"/>
    <n v="16.34"/>
    <n v="30"/>
    <n v="70.2"/>
    <n v="42"/>
    <n v="28"/>
    <n v="8"/>
    <n v="1583"/>
    <n v="30.5"/>
    <n v="37.200000000000003"/>
    <n v="22.6"/>
    <n v="47.9"/>
    <n v="18.899999999999999"/>
    <n v="27.2"/>
    <n v="16.7"/>
    <n v="27.4"/>
    <n v="22.9"/>
    <n v="38.9"/>
    <n v="49.5"/>
    <n v="48.5"/>
    <n v="175"/>
    <x v="0"/>
    <s v="1 to 5"/>
    <s v="3 to 6 hours"/>
    <x v="0"/>
    <x v="0"/>
    <x v="0"/>
    <n v="2.3E-2"/>
  </r>
  <r>
    <n v="10"/>
    <n v="10"/>
    <n v="10"/>
    <n v="10"/>
    <n v="10"/>
    <n v="10"/>
    <n v="10"/>
    <n v="11"/>
    <n v="11"/>
    <n v="12"/>
    <n v="13"/>
    <n v="13"/>
    <n v="13"/>
    <n v="13"/>
    <n v="13"/>
    <n v="13"/>
    <n v="18"/>
    <n v="16"/>
    <n v="16"/>
    <n v="18"/>
    <n v="20"/>
    <s v="A014"/>
    <n v="8.98"/>
    <n v="19"/>
    <n v="52.7"/>
    <n v="42"/>
    <n v="37.5"/>
    <n v="5.5"/>
    <n v="1127"/>
    <n v="21.9"/>
    <n v="24.5"/>
    <n v="17.100000000000001"/>
    <n v="33.5"/>
    <n v="29.6"/>
    <n v="50.7"/>
    <n v="27.1"/>
    <n v="43.1"/>
    <n v="22.8"/>
    <n v="39.950000000000003"/>
    <n v="38.450000000000003"/>
    <n v="40.299999999999997"/>
    <n v="152"/>
    <x v="1"/>
    <n v="0"/>
    <s v="6 to 9 hours"/>
    <x v="0"/>
    <x v="0"/>
    <x v="1"/>
    <n v="2.5000000000000001E-2"/>
  </r>
  <r>
    <n v="10"/>
    <n v="10"/>
    <n v="10"/>
    <n v="10"/>
    <n v="10"/>
    <n v="10"/>
    <n v="10"/>
    <n v="10"/>
    <n v="10"/>
    <n v="10"/>
    <n v="10"/>
    <n v="10"/>
    <n v="10"/>
    <n v="10"/>
    <n v="10"/>
    <n v="10"/>
    <n v="10"/>
    <n v="10"/>
    <n v="10"/>
    <n v="10"/>
    <n v="10"/>
    <s v="A015"/>
    <n v="0"/>
    <n v="30"/>
    <n v="72"/>
    <n v="57"/>
    <n v="28.7"/>
    <n v="12.5"/>
    <n v="1596"/>
    <n v="28.3"/>
    <n v="34.799999999999997"/>
    <n v="20.8"/>
    <n v="45.8"/>
    <n v="19.7"/>
    <n v="26.2"/>
    <n v="17.7"/>
    <n v="26.6"/>
    <n v="25.2"/>
    <n v="40.75"/>
    <n v="49.15"/>
    <n v="47.75"/>
    <n v="169"/>
    <x v="0"/>
    <s v="1 to 5"/>
    <s v="3 to 6 hours"/>
    <x v="1"/>
    <x v="1"/>
    <x v="0"/>
    <n v="0"/>
  </r>
  <r>
    <n v="10"/>
    <n v="16"/>
    <n v="26"/>
    <n v="27"/>
    <n v="21"/>
    <n v="16"/>
    <n v="19"/>
    <n v="10"/>
    <n v="16"/>
    <n v="19"/>
    <n v="19"/>
    <n v="19"/>
    <n v="17"/>
    <n v="18"/>
    <n v="10"/>
    <n v="20"/>
    <n v="20"/>
    <n v="16"/>
    <n v="24"/>
    <n v="14"/>
    <n v="21"/>
    <s v="A0SQ"/>
    <n v="20.76"/>
    <n v="20"/>
    <n v="61.6"/>
    <n v="41"/>
    <n v="35.200000000000003"/>
    <n v="6"/>
    <n v="1272"/>
    <n v="23.5"/>
    <n v="24.4"/>
    <n v="18"/>
    <n v="35.700000000000003"/>
    <n v="29.4"/>
    <n v="48"/>
    <n v="26.2"/>
    <n v="42.2"/>
    <n v="24.1"/>
    <n v="42.15"/>
    <n v="47.55"/>
    <n v="40.200000000000003"/>
    <n v="160"/>
    <x v="1"/>
    <s v="1 to 5"/>
    <s v="3 to 6 hours"/>
    <x v="0"/>
    <x v="0"/>
    <x v="1"/>
    <n v="1E-3"/>
  </r>
  <r>
    <n v="10"/>
    <n v="22"/>
    <n v="26"/>
    <n v="24"/>
    <n v="30"/>
    <n v="30"/>
    <n v="26"/>
    <n v="20"/>
    <n v="24"/>
    <n v="26"/>
    <n v="26"/>
    <n v="26"/>
    <n v="26"/>
    <n v="26"/>
    <n v="28"/>
    <n v="22"/>
    <n v="26"/>
    <n v="28"/>
    <n v="28"/>
    <n v="29"/>
    <n v="29"/>
    <s v="A016"/>
    <n v="18.32"/>
    <n v="28"/>
    <n v="69.3"/>
    <n v="49"/>
    <n v="38"/>
    <n v="7"/>
    <n v="1377"/>
    <n v="22.8"/>
    <n v="22"/>
    <n v="17"/>
    <n v="35"/>
    <n v="31.1"/>
    <n v="51.5"/>
    <n v="28.3"/>
    <n v="45.2"/>
    <n v="24.6"/>
    <n v="44.3"/>
    <n v="48.65"/>
    <n v="45.1"/>
    <n v="168"/>
    <x v="1"/>
    <s v="1 to 5"/>
    <s v="3 to 6 hours"/>
    <x v="0"/>
    <x v="0"/>
    <x v="0"/>
    <n v="0.02"/>
  </r>
  <r>
    <n v="11"/>
    <n v="11"/>
    <n v="11"/>
    <n v="11"/>
    <n v="11"/>
    <n v="12"/>
    <n v="12"/>
    <n v="12"/>
    <n v="12"/>
    <n v="12"/>
    <n v="12"/>
    <n v="12"/>
    <n v="12"/>
    <n v="14"/>
    <n v="14"/>
    <n v="14"/>
    <n v="14"/>
    <n v="14"/>
    <n v="14"/>
    <n v="14"/>
    <n v="14"/>
    <s v="A017"/>
    <n v="1.49"/>
    <n v="15"/>
    <n v="75.599999999999994"/>
    <n v="50"/>
    <n v="29.8"/>
    <n v="16"/>
    <n v="1646"/>
    <n v="27.9"/>
    <n v="34.200000000000003"/>
    <n v="20.100000000000001"/>
    <n v="45.3"/>
    <n v="20.8"/>
    <n v="27.8"/>
    <n v="19"/>
    <n v="28.2"/>
    <n v="28.1"/>
    <n v="41.05"/>
    <n v="44.95"/>
    <n v="41.15"/>
    <n v="164"/>
    <x v="0"/>
    <s v="1 to 5"/>
    <s v="6 to 9 hours"/>
    <x v="1"/>
    <x v="0"/>
    <x v="1"/>
    <n v="0.01"/>
  </r>
  <r>
    <n v="11"/>
    <n v="11"/>
    <n v="11"/>
    <n v="10"/>
    <n v="11"/>
    <n v="11"/>
    <n v="11"/>
    <n v="11"/>
    <n v="11"/>
    <n v="11"/>
    <n v="10"/>
    <n v="10"/>
    <n v="10"/>
    <n v="10"/>
    <n v="10"/>
    <n v="10"/>
    <n v="10"/>
    <n v="10"/>
    <n v="10"/>
    <n v="10"/>
    <n v="10"/>
    <s v="A018"/>
    <n v="0.24"/>
    <n v="32"/>
    <n v="89"/>
    <n v="53"/>
    <n v="30.1"/>
    <n v="21"/>
    <n v="1860"/>
    <n v="28.6"/>
    <n v="33.6"/>
    <n v="20.6"/>
    <n v="46.1"/>
    <n v="21.6"/>
    <n v="26.5"/>
    <n v="20.100000000000001"/>
    <n v="27.1"/>
    <n v="31.5"/>
    <n v="47"/>
    <n v="47.4"/>
    <n v="45.9"/>
    <n v="168"/>
    <x v="0"/>
    <n v="0"/>
    <s v="6 to 9 hours"/>
    <x v="1"/>
    <x v="1"/>
    <x v="0"/>
    <n v="-3.0000000000000001E-3"/>
  </r>
  <r>
    <n v="10"/>
    <n v="10"/>
    <n v="10"/>
    <n v="10"/>
    <n v="12"/>
    <n v="12"/>
    <n v="12"/>
    <n v="10"/>
    <n v="10"/>
    <n v="10"/>
    <n v="12"/>
    <n v="12"/>
    <n v="12"/>
    <n v="14"/>
    <n v="10"/>
    <n v="10"/>
    <n v="14"/>
    <n v="16"/>
    <n v="16"/>
    <n v="16"/>
    <n v="16"/>
    <s v="A019"/>
    <n v="5.13"/>
    <n v="23"/>
    <n v="55.5"/>
    <n v="48"/>
    <n v="35"/>
    <n v="7.5"/>
    <n v="1177"/>
    <n v="22.6"/>
    <n v="24.7"/>
    <n v="17.100000000000001"/>
    <n v="35.299999999999997"/>
    <n v="29.7"/>
    <n v="46.7"/>
    <n v="26.3"/>
    <n v="40.6"/>
    <n v="24.7"/>
    <n v="40.15"/>
    <n v="42.65"/>
    <n v="38.950000000000003"/>
    <n v="150"/>
    <x v="1"/>
    <s v="1 to 5"/>
    <s v="3 to 6 hours"/>
    <x v="0"/>
    <x v="0"/>
    <x v="1"/>
    <n v="1.6E-2"/>
  </r>
  <r>
    <n v="10"/>
    <n v="13"/>
    <n v="16"/>
    <n v="18"/>
    <n v="20"/>
    <n v="24"/>
    <n v="23"/>
    <n v="14"/>
    <n v="15"/>
    <n v="27"/>
    <n v="27"/>
    <n v="37"/>
    <n v="38"/>
    <n v="39"/>
    <n v="30"/>
    <n v="36"/>
    <n v="45"/>
    <n v="43"/>
    <n v="46"/>
    <n v="47"/>
    <n v="46"/>
    <s v="A020"/>
    <n v="148.85"/>
    <n v="20"/>
    <n v="76"/>
    <n v="49"/>
    <n v="37"/>
    <n v="13"/>
    <n v="1486"/>
    <n v="23.9"/>
    <n v="21.8"/>
    <n v="16.600000000000001"/>
    <n v="38.200000000000003"/>
    <n v="35.200000000000003"/>
    <n v="47.9"/>
    <n v="30.6"/>
    <n v="44.3"/>
    <n v="30.8"/>
    <n v="42.75"/>
    <n v="46"/>
    <n v="39.4"/>
    <n v="157"/>
    <x v="1"/>
    <s v="1 to 5"/>
    <s v="0 to 3 hours"/>
    <x v="1"/>
    <x v="0"/>
    <x v="1"/>
    <n v="0.105"/>
  </r>
  <r>
    <n v="10"/>
    <n v="10"/>
    <n v="11"/>
    <n v="11"/>
    <n v="17"/>
    <n v="17"/>
    <n v="17"/>
    <n v="17"/>
    <n v="17"/>
    <n v="17"/>
    <n v="21"/>
    <n v="23"/>
    <n v="25"/>
    <n v="25"/>
    <n v="25"/>
    <n v="25"/>
    <n v="25"/>
    <n v="25"/>
    <n v="25"/>
    <n v="25"/>
    <n v="25"/>
    <s v="A021"/>
    <n v="30.89"/>
    <n v="31"/>
    <n v="50.2"/>
    <n v="54"/>
    <n v="29.3"/>
    <n v="3"/>
    <n v="1120"/>
    <n v="25.2"/>
    <n v="28.9"/>
    <n v="19.899999999999999"/>
    <n v="37.200000000000003"/>
    <n v="23.2"/>
    <n v="39.799999999999997"/>
    <n v="19.899999999999999"/>
    <n v="32.4"/>
    <n v="19.600000000000001"/>
    <n v="38.6"/>
    <n v="44.15"/>
    <n v="43.7"/>
    <n v="160"/>
    <x v="1"/>
    <n v="0"/>
    <s v="3 to 6 hours"/>
    <x v="0"/>
    <x v="1"/>
    <x v="1"/>
    <n v="4.8000000000000001E-2"/>
  </r>
  <r>
    <n v="10"/>
    <n v="11"/>
    <n v="17"/>
    <n v="17"/>
    <n v="19"/>
    <n v="17"/>
    <n v="17"/>
    <n v="10"/>
    <n v="10"/>
    <n v="10"/>
    <n v="12"/>
    <n v="12"/>
    <n v="12"/>
    <n v="12"/>
    <n v="10"/>
    <n v="10"/>
    <n v="10"/>
    <n v="10"/>
    <n v="10"/>
    <n v="12"/>
    <n v="10"/>
    <s v="A022"/>
    <n v="8.9700000000000006"/>
    <n v="24"/>
    <n v="43.3"/>
    <n v="53"/>
    <n v="26.8"/>
    <n v="1.5"/>
    <n v="1018"/>
    <n v="25.4"/>
    <n v="30.6"/>
    <n v="20.6"/>
    <n v="36.1"/>
    <n v="20.5"/>
    <n v="37"/>
    <n v="17.3"/>
    <n v="29.2"/>
    <n v="17.600000000000001"/>
    <n v="35.799999999999997"/>
    <n v="43.5"/>
    <n v="42"/>
    <n v="157"/>
    <x v="1"/>
    <s v="6 to 15"/>
    <s v="0 to 3 hours"/>
    <x v="0"/>
    <x v="1"/>
    <x v="1"/>
    <n v="-1.4E-2"/>
  </r>
  <r>
    <n v="10"/>
    <n v="10"/>
    <n v="10"/>
    <n v="10"/>
    <n v="11"/>
    <n v="12"/>
    <n v="12"/>
    <n v="10"/>
    <n v="12"/>
    <n v="13"/>
    <n v="12"/>
    <n v="12"/>
    <n v="14"/>
    <n v="14"/>
    <n v="11"/>
    <n v="15"/>
    <n v="17"/>
    <n v="19"/>
    <n v="24"/>
    <n v="27"/>
    <n v="31"/>
    <s v="A023"/>
    <n v="33.58"/>
    <n v="32"/>
    <n v="110.8"/>
    <n v="41"/>
    <n v="33.700000000000003"/>
    <n v="23"/>
    <n v="2183"/>
    <n v="28.3"/>
    <n v="32.799999999999997"/>
    <n v="19.3"/>
    <n v="45.7"/>
    <n v="24.4"/>
    <n v="31.1"/>
    <n v="23"/>
    <n v="31.9"/>
    <n v="35"/>
    <n v="55.15"/>
    <n v="53.7"/>
    <n v="48.65"/>
    <n v="178"/>
    <x v="0"/>
    <s v="1 to 5"/>
    <s v="More than 9 hours"/>
    <x v="1"/>
    <x v="0"/>
    <x v="0"/>
    <n v="4.2999999999999997E-2"/>
  </r>
  <r>
    <n v="13"/>
    <n v="13"/>
    <n v="15"/>
    <n v="18"/>
    <n v="19"/>
    <n v="23"/>
    <n v="24"/>
    <n v="18"/>
    <n v="21"/>
    <n v="22"/>
    <n v="22"/>
    <n v="20"/>
    <n v="21"/>
    <n v="22"/>
    <n v="20"/>
    <n v="20"/>
    <n v="24"/>
    <n v="24"/>
    <n v="19"/>
    <n v="20"/>
    <n v="20"/>
    <s v="A024"/>
    <n v="9.7100000000000009"/>
    <n v="31"/>
    <n v="55.9"/>
    <n v="39"/>
    <n v="22.3"/>
    <n v="4.5"/>
    <n v="1376"/>
    <n v="32.1"/>
    <n v="38.700000000000003"/>
    <n v="25.5"/>
    <n v="49.4"/>
    <n v="14.8"/>
    <n v="21.4"/>
    <n v="12.7"/>
    <n v="21.2"/>
    <n v="19.8"/>
    <n v="36.700000000000003"/>
    <n v="46.15"/>
    <n v="47.2"/>
    <n v="168"/>
    <x v="0"/>
    <s v="1 to 5"/>
    <s v="6 to 9 hours"/>
    <x v="0"/>
    <x v="0"/>
    <x v="0"/>
    <n v="1.6E-2"/>
  </r>
  <r>
    <n v="15"/>
    <n v="16"/>
    <n v="14"/>
    <n v="14"/>
    <n v="15"/>
    <n v="14"/>
    <n v="12"/>
    <n v="10"/>
    <n v="12"/>
    <n v="12"/>
    <n v="14"/>
    <n v="16"/>
    <n v="14"/>
    <n v="14"/>
    <n v="10"/>
    <n v="14"/>
    <n v="16"/>
    <n v="14"/>
    <n v="14"/>
    <n v="14"/>
    <n v="15"/>
    <s v="A025"/>
    <n v="2.75"/>
    <n v="31"/>
    <n v="65.3"/>
    <n v="44"/>
    <n v="19.100000000000001"/>
    <n v="7"/>
    <n v="1543"/>
    <n v="33.200000000000003"/>
    <n v="38.200000000000003"/>
    <n v="27.2"/>
    <n v="50.5"/>
    <n v="13.3"/>
    <n v="18.2"/>
    <n v="11.6"/>
    <n v="17.7"/>
    <n v="22.1"/>
    <n v="39.299999999999997"/>
    <n v="47.05"/>
    <n v="45.7"/>
    <n v="172"/>
    <x v="0"/>
    <s v="1 to 5"/>
    <s v="6 to 9 hours"/>
    <x v="0"/>
    <x v="0"/>
    <x v="0"/>
    <n v="0"/>
  </r>
  <r>
    <n v="10"/>
    <n v="10"/>
    <n v="10"/>
    <n v="10"/>
    <n v="10"/>
    <n v="10"/>
    <n v="10"/>
    <n v="10"/>
    <n v="10"/>
    <n v="10"/>
    <n v="10"/>
    <n v="11"/>
    <n v="11"/>
    <n v="11"/>
    <n v="11"/>
    <n v="12"/>
    <n v="12"/>
    <n v="12"/>
    <n v="12"/>
    <n v="12"/>
    <n v="12"/>
    <s v="A026"/>
    <n v="0.75"/>
    <n v="15"/>
    <n v="81.2"/>
    <n v="47"/>
    <n v="41.3"/>
    <n v="16"/>
    <n v="1533"/>
    <n v="21.4"/>
    <n v="17.7"/>
    <n v="14.6"/>
    <n v="35.1"/>
    <n v="38.700000000000003"/>
    <n v="55"/>
    <n v="34.4"/>
    <n v="52.5"/>
    <n v="32.700000000000003"/>
    <n v="42.7"/>
    <n v="46.5"/>
    <n v="41.25"/>
    <n v="157.5"/>
    <x v="1"/>
    <s v="1 to 5"/>
    <s v="6 to 9 hours"/>
    <x v="1"/>
    <x v="0"/>
    <x v="1"/>
    <n v="7.0000000000000001E-3"/>
  </r>
  <r>
    <n v="16"/>
    <n v="20"/>
    <n v="22"/>
    <n v="37"/>
    <n v="34"/>
    <n v="48"/>
    <n v="48"/>
    <n v="28"/>
    <n v="28"/>
    <n v="32"/>
    <n v="36"/>
    <n v="34"/>
    <n v="34"/>
    <n v="38"/>
    <n v="28"/>
    <n v="38"/>
    <n v="38"/>
    <n v="48"/>
    <n v="56"/>
    <n v="56"/>
    <n v="60"/>
    <s v="A027"/>
    <n v="136.56"/>
    <n v="27"/>
    <n v="59"/>
    <n v="43"/>
    <n v="22.2"/>
    <n v="7"/>
    <n v="1421"/>
    <n v="31.1"/>
    <n v="37.6"/>
    <n v="24.8"/>
    <n v="48.5"/>
    <n v="15.1"/>
    <n v="21.2"/>
    <n v="13.2"/>
    <n v="21"/>
    <n v="21.9"/>
    <n v="37.299999999999997"/>
    <n v="46"/>
    <n v="42.15"/>
    <n v="164"/>
    <x v="0"/>
    <s v="1 to 5"/>
    <s v="More than 9 hours"/>
    <x v="0"/>
    <x v="0"/>
    <x v="1"/>
    <n v="7.6999999999999999E-2"/>
  </r>
  <r>
    <n v="10"/>
    <n v="10"/>
    <n v="10"/>
    <n v="10"/>
    <n v="10"/>
    <n v="10"/>
    <n v="10"/>
    <n v="10"/>
    <n v="10"/>
    <n v="10"/>
    <n v="10"/>
    <n v="10"/>
    <n v="10"/>
    <n v="11"/>
    <n v="11"/>
    <n v="11"/>
    <n v="11"/>
    <n v="12"/>
    <n v="12"/>
    <n v="12"/>
    <n v="12"/>
    <s v="A028"/>
    <n v="0.63"/>
    <n v="32"/>
    <n v="78.900000000000006"/>
    <n v="42"/>
    <n v="32.200000000000003"/>
    <n v="9"/>
    <n v="1573"/>
    <n v="28"/>
    <n v="26"/>
    <n v="19.7"/>
    <n v="42.7"/>
    <n v="31.2"/>
    <n v="41.3"/>
    <n v="26.2"/>
    <n v="37.299999999999997"/>
    <n v="28.6"/>
    <n v="44.1"/>
    <n v="46.75"/>
    <n v="42.95"/>
    <n v="166"/>
    <x v="1"/>
    <s v="1 to 5"/>
    <s v="More than 9 hours"/>
    <x v="1"/>
    <x v="0"/>
    <x v="1"/>
    <n v="6.0000000000000001E-3"/>
  </r>
  <r>
    <n v="10"/>
    <n v="10"/>
    <n v="11"/>
    <n v="12"/>
    <n v="12"/>
    <n v="13"/>
    <n v="15"/>
    <n v="12"/>
    <n v="15"/>
    <n v="20"/>
    <n v="24"/>
    <n v="27"/>
    <n v="28"/>
    <n v="28"/>
    <n v="25"/>
    <n v="28"/>
    <n v="30"/>
    <n v="27"/>
    <n v="31"/>
    <n v="29"/>
    <n v="29"/>
    <s v="A029"/>
    <n v="60.66"/>
    <n v="27"/>
    <n v="56.2"/>
    <n v="51"/>
    <n v="32"/>
    <n v="5"/>
    <n v="1203"/>
    <n v="24.5"/>
    <n v="26.8"/>
    <n v="18.899999999999999"/>
    <n v="36.5"/>
    <n v="26.2"/>
    <n v="43.1"/>
    <n v="22.9"/>
    <n v="36.299999999999997"/>
    <n v="22"/>
    <n v="34.549999999999997"/>
    <n v="46.2"/>
    <n v="41.95"/>
    <n v="160"/>
    <x v="1"/>
    <s v="1 to 5"/>
    <s v="3 to 6 hours"/>
    <x v="0"/>
    <x v="0"/>
    <x v="1"/>
    <n v="6.7000000000000004E-2"/>
  </r>
  <r>
    <n v="12"/>
    <n v="13"/>
    <n v="12"/>
    <n v="15"/>
    <n v="17"/>
    <n v="21"/>
    <n v="22"/>
    <n v="18"/>
    <n v="22"/>
    <n v="22"/>
    <n v="28"/>
    <n v="31"/>
    <n v="32"/>
    <n v="32"/>
    <n v="32"/>
    <n v="42"/>
    <n v="42"/>
    <n v="52"/>
    <n v="52"/>
    <n v="52"/>
    <n v="52"/>
    <s v="A030"/>
    <n v="189.77"/>
    <n v="31"/>
    <n v="48.5"/>
    <n v="58"/>
    <n v="26.9"/>
    <n v="1.5"/>
    <n v="1102"/>
    <n v="26.1"/>
    <n v="30.4"/>
    <n v="20.8"/>
    <n v="38.1"/>
    <n v="21"/>
    <n v="36.9"/>
    <n v="17.600000000000001"/>
    <n v="29.3"/>
    <n v="18.3"/>
    <n v="36.5"/>
    <n v="45"/>
    <n v="44.85"/>
    <n v="163"/>
    <x v="1"/>
    <s v="1 to 5"/>
    <s v="6 to 9 hours"/>
    <x v="0"/>
    <x v="1"/>
    <x v="1"/>
    <n v="0.122"/>
  </r>
  <r>
    <n v="10"/>
    <n v="11"/>
    <n v="11"/>
    <n v="11"/>
    <n v="11"/>
    <n v="11"/>
    <n v="11"/>
    <n v="10"/>
    <n v="12"/>
    <n v="16"/>
    <n v="16"/>
    <n v="18"/>
    <n v="19"/>
    <n v="26"/>
    <n v="24"/>
    <n v="32"/>
    <n v="32"/>
    <n v="34"/>
    <n v="42"/>
    <n v="40"/>
    <n v="48"/>
    <s v="A031"/>
    <n v="141.01"/>
    <n v="32"/>
    <n v="86.8"/>
    <n v="55"/>
    <n v="29"/>
    <n v="17"/>
    <n v="1834"/>
    <n v="29.2"/>
    <n v="34.5"/>
    <n v="21.4"/>
    <n v="46.6"/>
    <n v="20.5"/>
    <n v="25.6"/>
    <n v="18.8"/>
    <n v="26.1"/>
    <n v="29"/>
    <n v="43"/>
    <n v="49.5"/>
    <n v="48.85"/>
    <n v="173"/>
    <x v="0"/>
    <s v="1 to 5"/>
    <s v="6 to 9 hours"/>
    <x v="1"/>
    <x v="1"/>
    <x v="0"/>
    <n v="0.1"/>
  </r>
  <r>
    <n v="68"/>
    <n v="66"/>
    <n v="65"/>
    <n v="56"/>
    <n v="56"/>
    <n v="56"/>
    <n v="55"/>
    <n v="66"/>
    <n v="64"/>
    <n v="61"/>
    <n v="62"/>
    <n v="58"/>
    <n v="57"/>
    <n v="58"/>
    <n v="68"/>
    <n v="60"/>
    <n v="57"/>
    <n v="57"/>
    <n v="56"/>
    <n v="54"/>
    <n v="54"/>
    <s v="A032"/>
    <n v="20.97"/>
    <n v="20"/>
    <n v="58.8"/>
    <n v="52"/>
    <n v="29.4"/>
    <n v="4"/>
    <n v="1258"/>
    <n v="26.2"/>
    <n v="28.3"/>
    <n v="20.2"/>
    <n v="39"/>
    <n v="24.7"/>
    <n v="39.799999999999997"/>
    <n v="21"/>
    <n v="33.5"/>
    <n v="21.6"/>
    <n v="40.950000000000003"/>
    <n v="44.8"/>
    <n v="44.1"/>
    <n v="165"/>
    <x v="1"/>
    <s v="1 to 5"/>
    <s v="3 to 6 hours"/>
    <x v="0"/>
    <x v="0"/>
    <x v="1"/>
    <n v="-2.1000000000000001E-2"/>
  </r>
  <r>
    <n v="10"/>
    <n v="10"/>
    <n v="12"/>
    <n v="15"/>
    <n v="20"/>
    <n v="24"/>
    <n v="32"/>
    <n v="20"/>
    <n v="20"/>
    <n v="25"/>
    <n v="25"/>
    <n v="25"/>
    <n v="24"/>
    <n v="24"/>
    <n v="20"/>
    <n v="22"/>
    <n v="25"/>
    <n v="28"/>
    <n v="25"/>
    <n v="27"/>
    <n v="22"/>
    <s v="A033"/>
    <n v="31.84"/>
    <n v="24"/>
    <n v="48.7"/>
    <n v="54"/>
    <n v="26.9"/>
    <n v="2"/>
    <n v="1105"/>
    <n v="26.1"/>
    <n v="30.3"/>
    <n v="20.8"/>
    <n v="38.299999999999997"/>
    <n v="21.5"/>
    <n v="36.9"/>
    <n v="18"/>
    <n v="30"/>
    <n v="19"/>
    <n v="37.5"/>
    <n v="43.35"/>
    <n v="43.15"/>
    <n v="160"/>
    <x v="1"/>
    <s v="6 to 15"/>
    <s v="0 to 3 hours"/>
    <x v="0"/>
    <x v="1"/>
    <x v="1"/>
    <n v="3.4000000000000002E-2"/>
  </r>
  <r>
    <n v="10"/>
    <n v="10"/>
    <n v="18"/>
    <n v="21"/>
    <n v="24"/>
    <n v="25"/>
    <n v="30"/>
    <n v="24"/>
    <n v="30"/>
    <n v="32"/>
    <n v="34"/>
    <n v="36"/>
    <n v="36"/>
    <n v="34"/>
    <n v="26"/>
    <n v="32"/>
    <n v="34"/>
    <n v="40"/>
    <n v="40"/>
    <n v="40"/>
    <n v="40"/>
    <s v="A034"/>
    <n v="78.89"/>
    <n v="32"/>
    <n v="56.3"/>
    <n v="55"/>
    <n v="30.9"/>
    <n v="7"/>
    <n v="1209"/>
    <n v="25"/>
    <n v="27.3"/>
    <n v="18.8"/>
    <n v="38.5"/>
    <n v="27.4"/>
    <n v="40.700000000000003"/>
    <n v="23.3"/>
    <n v="35"/>
    <n v="24.4"/>
    <n v="39.35"/>
    <n v="43.3"/>
    <n v="39.1"/>
    <n v="152"/>
    <x v="1"/>
    <s v="1 to 5"/>
    <s v="0 to 3 hours"/>
    <x v="0"/>
    <x v="1"/>
    <x v="1"/>
    <n v="7.2999999999999995E-2"/>
  </r>
  <r>
    <n v="10"/>
    <n v="12"/>
    <n v="12"/>
    <n v="12"/>
    <n v="12"/>
    <n v="14"/>
    <n v="14"/>
    <n v="11"/>
    <n v="13"/>
    <n v="14"/>
    <n v="14"/>
    <n v="14"/>
    <n v="14"/>
    <n v="14"/>
    <n v="11"/>
    <n v="12"/>
    <n v="11"/>
    <n v="11"/>
    <n v="11"/>
    <n v="13"/>
    <n v="13"/>
    <s v="A035"/>
    <n v="1.68"/>
    <n v="16"/>
    <n v="77.400000000000006"/>
    <n v="41"/>
    <n v="24.4"/>
    <n v="9.5"/>
    <n v="1718"/>
    <n v="31.9"/>
    <n v="36.799999999999997"/>
    <n v="24.7"/>
    <n v="49.2"/>
    <n v="16.899999999999999"/>
    <n v="23.1"/>
    <n v="15.1"/>
    <n v="23"/>
    <n v="24.4"/>
    <n v="40.049999999999997"/>
    <n v="51.15"/>
    <n v="50.05"/>
    <n v="178"/>
    <x v="0"/>
    <s v="1 to 5"/>
    <s v="3 to 6 hours"/>
    <x v="0"/>
    <x v="0"/>
    <x v="0"/>
    <n v="1E-3"/>
  </r>
  <r>
    <n v="10"/>
    <n v="12"/>
    <n v="11"/>
    <n v="13"/>
    <n v="12"/>
    <n v="13"/>
    <n v="14"/>
    <n v="10"/>
    <n v="11"/>
    <n v="12"/>
    <n v="12"/>
    <n v="13"/>
    <n v="10"/>
    <n v="10"/>
    <n v="10"/>
    <n v="10"/>
    <n v="12"/>
    <n v="12"/>
    <n v="12"/>
    <n v="10"/>
    <n v="10"/>
    <s v="A036"/>
    <n v="1.57"/>
    <n v="30"/>
    <n v="57.2"/>
    <n v="49"/>
    <n v="29.2"/>
    <n v="4.5"/>
    <n v="1233"/>
    <n v="26.1"/>
    <n v="28.5"/>
    <n v="20.2"/>
    <n v="39.4"/>
    <n v="25.3"/>
    <n v="39.4"/>
    <n v="21.3"/>
    <n v="33.799999999999997"/>
    <n v="22.6"/>
    <n v="38.299999999999997"/>
    <n v="44.65"/>
    <n v="42.05"/>
    <n v="159"/>
    <x v="1"/>
    <s v="6 to 15"/>
    <s v="6 to 9 hours"/>
    <x v="0"/>
    <x v="0"/>
    <x v="1"/>
    <n v="-3.0000000000000001E-3"/>
  </r>
  <r>
    <n v="10"/>
    <n v="10"/>
    <n v="10"/>
    <n v="11"/>
    <n v="10"/>
    <n v="10"/>
    <n v="10"/>
    <n v="10"/>
    <n v="10"/>
    <n v="10"/>
    <n v="10"/>
    <n v="10"/>
    <n v="10"/>
    <n v="11"/>
    <n v="11"/>
    <n v="10"/>
    <n v="10"/>
    <n v="10"/>
    <n v="10"/>
    <n v="10"/>
    <n v="10"/>
    <s v="A037"/>
    <n v="0.12"/>
    <n v="25"/>
    <n v="54"/>
    <n v="53"/>
    <n v="34.9"/>
    <n v="7"/>
    <n v="1154"/>
    <n v="22.4"/>
    <n v="24.9"/>
    <n v="17"/>
    <n v="35.1"/>
    <n v="29.1"/>
    <n v="46.3"/>
    <n v="25.9"/>
    <n v="39.5"/>
    <n v="24"/>
    <n v="37.450000000000003"/>
    <n v="44.65"/>
    <n v="43.6"/>
    <n v="150"/>
    <x v="1"/>
    <s v="6 to 15"/>
    <s v="0 to 3 hours"/>
    <x v="0"/>
    <x v="1"/>
    <x v="1"/>
    <n v="0"/>
  </r>
  <r>
    <n v="10"/>
    <n v="10"/>
    <n v="10"/>
    <n v="10"/>
    <n v="11"/>
    <n v="11"/>
    <n v="11"/>
    <n v="11"/>
    <n v="11"/>
    <n v="11"/>
    <n v="12"/>
    <n v="14"/>
    <n v="14"/>
    <n v="17"/>
    <n v="17"/>
    <n v="17"/>
    <n v="17"/>
    <n v="18"/>
    <n v="18"/>
    <n v="18"/>
    <n v="18"/>
    <s v="A038"/>
    <n v="10.43"/>
    <n v="18"/>
    <n v="48.8"/>
    <n v="60"/>
    <n v="35.700000000000003"/>
    <n v="6"/>
    <n v="1070"/>
    <n v="21.4"/>
    <n v="24.8"/>
    <n v="16.100000000000001"/>
    <n v="33.4"/>
    <n v="28.3"/>
    <n v="46.7"/>
    <n v="25.6"/>
    <n v="38.1"/>
    <n v="22.3"/>
    <n v="37.25"/>
    <n v="41.8"/>
    <n v="38.549999999999997"/>
    <n v="148"/>
    <x v="1"/>
    <s v="6 to 15"/>
    <s v="0 to 3 hours"/>
    <x v="0"/>
    <x v="1"/>
    <x v="1"/>
    <n v="2.8000000000000001E-2"/>
  </r>
  <r>
    <n v="10"/>
    <n v="10"/>
    <n v="13"/>
    <n v="15"/>
    <n v="18"/>
    <n v="20"/>
    <n v="21"/>
    <n v="16"/>
    <n v="19"/>
    <n v="19"/>
    <n v="25"/>
    <n v="28"/>
    <n v="30"/>
    <n v="30"/>
    <n v="26"/>
    <n v="32"/>
    <n v="33"/>
    <n v="36"/>
    <n v="38"/>
    <n v="42"/>
    <n v="42"/>
    <s v="A039"/>
    <n v="94.18"/>
    <n v="19"/>
    <n v="63.1"/>
    <n v="55"/>
    <n v="33.4"/>
    <n v="6.5"/>
    <n v="1305"/>
    <n v="24.4"/>
    <n v="25.2"/>
    <n v="18.2"/>
    <n v="37.299999999999997"/>
    <n v="28.3"/>
    <n v="44.4"/>
    <n v="24.8"/>
    <n v="37.9"/>
    <n v="23.7"/>
    <n v="40.200000000000003"/>
    <n v="45.75"/>
    <n v="44.85"/>
    <n v="163"/>
    <x v="1"/>
    <s v="1 to 5"/>
    <s v="3 to 6 hours"/>
    <x v="0"/>
    <x v="1"/>
    <x v="1"/>
    <n v="8.6999999999999994E-2"/>
  </r>
  <r>
    <n v="10"/>
    <n v="10"/>
    <n v="10"/>
    <n v="10"/>
    <n v="10"/>
    <n v="10"/>
    <n v="10"/>
    <n v="10"/>
    <n v="10"/>
    <n v="10"/>
    <n v="10"/>
    <n v="10"/>
    <n v="10"/>
    <n v="12"/>
    <n v="10"/>
    <n v="13"/>
    <n v="15"/>
    <n v="15"/>
    <n v="16"/>
    <n v="16"/>
    <n v="18"/>
    <s v="A040"/>
    <n v="6.7"/>
    <n v="17"/>
    <n v="74.5"/>
    <n v="52"/>
    <n v="25.2"/>
    <n v="11"/>
    <n v="1660"/>
    <n v="30.5"/>
    <n v="36.1"/>
    <n v="23.5"/>
    <n v="47.9"/>
    <n v="17.5"/>
    <n v="22.9"/>
    <n v="15.7"/>
    <n v="23.1"/>
    <n v="24.9"/>
    <n v="39.299999999999997"/>
    <n v="48.5"/>
    <n v="46"/>
    <n v="173"/>
    <x v="0"/>
    <s v="1 to 5"/>
    <s v="0 to 3 hours"/>
    <x v="0"/>
    <x v="0"/>
    <x v="0"/>
    <n v="1.9E-2"/>
  </r>
  <r>
    <n v="10"/>
    <n v="10"/>
    <n v="11"/>
    <n v="11"/>
    <n v="11"/>
    <n v="11"/>
    <n v="11"/>
    <n v="11"/>
    <n v="11"/>
    <n v="13"/>
    <n v="13"/>
    <n v="14"/>
    <n v="15"/>
    <n v="15"/>
    <n v="15"/>
    <n v="15"/>
    <n v="15"/>
    <n v="15"/>
    <n v="16"/>
    <n v="19"/>
    <n v="19"/>
    <s v="A041"/>
    <n v="7.09"/>
    <n v="21"/>
    <n v="56.2"/>
    <n v="49"/>
    <n v="31.1"/>
    <n v="5"/>
    <n v="1207"/>
    <n v="24.9"/>
    <n v="27.2"/>
    <n v="19.2"/>
    <n v="37.4"/>
    <n v="26.2"/>
    <n v="42"/>
    <n v="22.6"/>
    <n v="35.799999999999997"/>
    <n v="22.5"/>
    <n v="35.5"/>
    <n v="44.5"/>
    <n v="42.55"/>
    <n v="158"/>
    <x v="1"/>
    <s v="1 to 5"/>
    <s v="0 to 3 hours"/>
    <x v="0"/>
    <x v="0"/>
    <x v="1"/>
    <n v="2.3E-2"/>
  </r>
  <r>
    <n v="12"/>
    <n v="12"/>
    <n v="12"/>
    <n v="12"/>
    <n v="12"/>
    <n v="12"/>
    <n v="12"/>
    <n v="12"/>
    <n v="12"/>
    <n v="12"/>
    <n v="12"/>
    <n v="12"/>
    <n v="12"/>
    <n v="12"/>
    <n v="12"/>
    <n v="12"/>
    <n v="13"/>
    <n v="13"/>
    <n v="13"/>
    <n v="14"/>
    <n v="15"/>
    <s v="A042"/>
    <n v="0.62"/>
    <n v="25"/>
    <n v="71.599999999999994"/>
    <n v="49"/>
    <n v="34.5"/>
    <n v="9.5"/>
    <n v="1434"/>
    <n v="25"/>
    <n v="24"/>
    <n v="18"/>
    <n v="39"/>
    <n v="31.9"/>
    <n v="45.1"/>
    <n v="27.5"/>
    <n v="40.5"/>
    <n v="28"/>
    <n v="43.45"/>
    <n v="49.6"/>
    <n v="43.15"/>
    <n v="160"/>
    <x v="1"/>
    <s v="1 to 5"/>
    <s v="3 to 6 hours"/>
    <x v="1"/>
    <x v="0"/>
    <x v="1"/>
    <n v="5.0000000000000001E-3"/>
  </r>
  <r>
    <n v="46"/>
    <n v="45"/>
    <n v="46"/>
    <n v="47"/>
    <n v="43"/>
    <n v="50"/>
    <n v="47"/>
    <n v="39"/>
    <n v="43"/>
    <n v="44"/>
    <n v="43"/>
    <n v="43"/>
    <n v="43"/>
    <n v="43"/>
    <n v="37"/>
    <n v="42"/>
    <n v="39"/>
    <n v="43"/>
    <n v="45"/>
    <n v="46"/>
    <n v="46"/>
    <s v="A043"/>
    <n v="8.6300000000000008"/>
    <n v="27"/>
    <n v="62.3"/>
    <n v="66"/>
    <n v="36.1"/>
    <n v="9"/>
    <n v="1277"/>
    <n v="22.8"/>
    <n v="23.5"/>
    <n v="16.399999999999999"/>
    <n v="36.200000000000003"/>
    <n v="30.9"/>
    <n v="46.6"/>
    <n v="27.4"/>
    <n v="39.6"/>
    <n v="25.6"/>
    <n v="41.65"/>
    <n v="45.55"/>
    <n v="41.95"/>
    <n v="156"/>
    <x v="1"/>
    <s v="1 to 5"/>
    <s v="3 to 6 hours"/>
    <x v="1"/>
    <x v="1"/>
    <x v="1"/>
    <n v="-8.0000000000000002E-3"/>
  </r>
  <r>
    <n v="10"/>
    <n v="10"/>
    <n v="10"/>
    <n v="10"/>
    <n v="10"/>
    <n v="10"/>
    <n v="10"/>
    <n v="10"/>
    <n v="10"/>
    <n v="10"/>
    <n v="10"/>
    <n v="10"/>
    <n v="10"/>
    <n v="10"/>
    <n v="10"/>
    <n v="10"/>
    <n v="10"/>
    <n v="10"/>
    <n v="10"/>
    <n v="10"/>
    <n v="10"/>
    <s v="A044"/>
    <n v="0"/>
    <n v="22"/>
    <n v="81.5"/>
    <n v="61"/>
    <n v="28.2"/>
    <n v="18"/>
    <n v="1750"/>
    <n v="28.8"/>
    <n v="33.9"/>
    <n v="21.3"/>
    <n v="46.2"/>
    <n v="20"/>
    <n v="24.3"/>
    <n v="18.399999999999999"/>
    <n v="24.8"/>
    <n v="28.9"/>
    <n v="45.15"/>
    <n v="44.55"/>
    <n v="45.55"/>
    <n v="168"/>
    <x v="0"/>
    <n v="0"/>
    <s v="3 to 6 hours"/>
    <x v="1"/>
    <x v="1"/>
    <x v="0"/>
    <n v="0"/>
  </r>
  <r>
    <n v="10"/>
    <n v="10"/>
    <n v="10"/>
    <n v="10"/>
    <n v="10"/>
    <n v="10"/>
    <n v="11"/>
    <n v="10"/>
    <n v="11"/>
    <n v="11"/>
    <n v="12"/>
    <n v="12"/>
    <n v="13"/>
    <n v="13"/>
    <n v="11"/>
    <n v="11"/>
    <n v="13"/>
    <n v="13"/>
    <n v="13"/>
    <n v="13"/>
    <n v="13"/>
    <s v="A045"/>
    <n v="1.58"/>
    <n v="18"/>
    <n v="64.099999999999994"/>
    <n v="53"/>
    <n v="34.9"/>
    <n v="9"/>
    <n v="1311"/>
    <n v="23.6"/>
    <n v="24.1"/>
    <n v="17.3"/>
    <n v="37.200000000000003"/>
    <n v="31.1"/>
    <n v="45.9"/>
    <n v="27.2"/>
    <n v="40.6"/>
    <n v="26.7"/>
    <n v="39.65"/>
    <n v="45.05"/>
    <n v="40.200000000000003"/>
    <n v="155"/>
    <x v="1"/>
    <s v="6 to 15"/>
    <s v="0 to 3 hours"/>
    <x v="1"/>
    <x v="1"/>
    <x v="1"/>
    <n v="0.01"/>
  </r>
  <r>
    <n v="10"/>
    <n v="11"/>
    <n v="11"/>
    <n v="13"/>
    <n v="11"/>
    <n v="12"/>
    <n v="12"/>
    <n v="12"/>
    <n v="11"/>
    <n v="11"/>
    <n v="11"/>
    <n v="11"/>
    <n v="11"/>
    <n v="11"/>
    <n v="11"/>
    <n v="12"/>
    <n v="12"/>
    <n v="14"/>
    <n v="13"/>
    <n v="13"/>
    <n v="13"/>
    <s v="A046"/>
    <n v="0.97"/>
    <n v="22"/>
    <n v="78.599999999999994"/>
    <n v="54"/>
    <n v="26.8"/>
    <n v="9.5"/>
    <n v="1720"/>
    <n v="30.5"/>
    <n v="36.299999999999997"/>
    <n v="23"/>
    <n v="47.9"/>
    <n v="18.3"/>
    <n v="24.7"/>
    <n v="16.2"/>
    <n v="24.9"/>
    <n v="23.5"/>
    <n v="43.45"/>
    <n v="48.3"/>
    <n v="48.5"/>
    <n v="183"/>
    <x v="0"/>
    <s v="1 to 5"/>
    <s v="0 to 3 hours"/>
    <x v="0"/>
    <x v="1"/>
    <x v="0"/>
    <n v="5.0000000000000001E-3"/>
  </r>
  <r>
    <n v="14"/>
    <n v="15"/>
    <n v="19"/>
    <n v="26"/>
    <n v="27"/>
    <n v="30"/>
    <n v="33"/>
    <n v="19"/>
    <n v="27"/>
    <n v="34"/>
    <n v="30"/>
    <n v="33"/>
    <n v="33"/>
    <n v="37"/>
    <n v="26"/>
    <n v="34"/>
    <n v="37"/>
    <n v="37"/>
    <n v="36"/>
    <n v="36"/>
    <n v="34"/>
    <s v="A047"/>
    <n v="50.43"/>
    <n v="24"/>
    <n v="59.9"/>
    <n v="54"/>
    <n v="35.6"/>
    <n v="5"/>
    <n v="1245"/>
    <n v="23.3"/>
    <n v="24.6"/>
    <n v="17.7"/>
    <n v="34.5"/>
    <n v="27.9"/>
    <n v="27.9"/>
    <n v="25.3"/>
    <n v="39.9"/>
    <n v="21.7"/>
    <n v="38.049999999999997"/>
    <n v="47.25"/>
    <n v="44.65"/>
    <n v="166"/>
    <x v="1"/>
    <s v="1 to 5"/>
    <s v="0 to 3 hours"/>
    <x v="0"/>
    <x v="1"/>
    <x v="1"/>
    <n v="5.1999999999999998E-2"/>
  </r>
  <r>
    <n v="10"/>
    <n v="10"/>
    <n v="10"/>
    <n v="11"/>
    <n v="12"/>
    <n v="12"/>
    <n v="12"/>
    <n v="12"/>
    <n v="12"/>
    <n v="14"/>
    <n v="14"/>
    <n v="14"/>
    <n v="14"/>
    <n v="16"/>
    <n v="16"/>
    <n v="20"/>
    <n v="20"/>
    <n v="22"/>
    <n v="26"/>
    <n v="26"/>
    <n v="28"/>
    <s v="A048"/>
    <n v="30.47"/>
    <n v="17"/>
    <n v="63.9"/>
    <n v="42"/>
    <n v="37.6"/>
    <n v="11"/>
    <n v="1292"/>
    <n v="21.9"/>
    <n v="22.1"/>
    <n v="16.2"/>
    <n v="35.200000000000003"/>
    <n v="34"/>
    <n v="50.5"/>
    <n v="30"/>
    <n v="46.7"/>
    <n v="28.8"/>
    <n v="43.7"/>
    <n v="49.25"/>
    <n v="38.5"/>
    <n v="149"/>
    <x v="1"/>
    <s v="6 to 15"/>
    <s v="3 to 6 hours"/>
    <x v="1"/>
    <x v="0"/>
    <x v="1"/>
    <n v="4.7E-2"/>
  </r>
  <r>
    <n v="30"/>
    <n v="32"/>
    <n v="34"/>
    <n v="36"/>
    <n v="34"/>
    <n v="36"/>
    <n v="38"/>
    <n v="21"/>
    <n v="24"/>
    <n v="34"/>
    <n v="43"/>
    <n v="43"/>
    <n v="46"/>
    <n v="50"/>
    <n v="22"/>
    <n v="48"/>
    <n v="50"/>
    <n v="57"/>
    <n v="66"/>
    <n v="76"/>
    <n v="76"/>
    <s v="A049"/>
    <n v="236.89"/>
    <n v="31"/>
    <n v="69.3"/>
    <n v="46"/>
    <n v="24.7"/>
    <n v="9.5"/>
    <n v="1579"/>
    <n v="30.7"/>
    <n v="36.9"/>
    <n v="23.8"/>
    <n v="48.1"/>
    <n v="17"/>
    <n v="23.1"/>
    <n v="15.1"/>
    <n v="23.1"/>
    <n v="24"/>
    <n v="38.75"/>
    <n v="44.75"/>
    <n v="46.95"/>
    <n v="170"/>
    <x v="0"/>
    <s v="6 to 15"/>
    <s v="3 to 6 hours"/>
    <x v="0"/>
    <x v="0"/>
    <x v="0"/>
    <n v="0.109"/>
  </r>
  <r>
    <n v="10"/>
    <n v="20"/>
    <n v="17"/>
    <n v="40"/>
    <n v="40"/>
    <n v="41"/>
    <n v="48"/>
    <n v="51"/>
    <n v="39"/>
    <n v="45"/>
    <n v="55"/>
    <n v="53"/>
    <n v="60"/>
    <n v="65"/>
    <n v="65"/>
    <n v="72"/>
    <n v="71"/>
    <n v="53"/>
    <n v="75"/>
    <n v="69"/>
    <n v="77"/>
    <s v="A050"/>
    <n v="344.85"/>
    <n v="31"/>
    <n v="71.5"/>
    <n v="55"/>
    <n v="24.1"/>
    <n v="11.5"/>
    <n v="1615"/>
    <n v="30.6"/>
    <n v="35.799999999999997"/>
    <n v="23.8"/>
    <n v="47.9"/>
    <n v="16.7"/>
    <n v="21.4"/>
    <n v="15"/>
    <n v="21.5"/>
    <n v="24.7"/>
    <n v="39.6"/>
    <n v="47.3"/>
    <n v="48.65"/>
    <n v="170"/>
    <x v="0"/>
    <s v="1 to 5"/>
    <s v="More than 9 hours"/>
    <x v="0"/>
    <x v="1"/>
    <x v="0"/>
    <n v="0.156"/>
  </r>
  <r>
    <n v="10"/>
    <n v="10"/>
    <n v="10"/>
    <n v="10"/>
    <n v="10"/>
    <n v="10"/>
    <n v="10"/>
    <n v="10"/>
    <n v="10"/>
    <n v="10"/>
    <n v="10"/>
    <n v="10"/>
    <n v="10"/>
    <n v="10"/>
    <n v="10"/>
    <n v="12"/>
    <n v="12"/>
    <n v="12"/>
    <n v="12"/>
    <n v="12"/>
    <n v="12"/>
    <s v="A051"/>
    <n v="0.82"/>
    <n v="41"/>
    <n v="80.2"/>
    <n v="55"/>
    <n v="30.5"/>
    <n v="13.5"/>
    <n v="1719"/>
    <n v="28.4"/>
    <n v="34.700000000000003"/>
    <n v="20.3"/>
    <n v="45.8"/>
    <n v="20.9"/>
    <n v="28.2"/>
    <n v="18.899999999999999"/>
    <n v="28.8"/>
    <n v="26.2"/>
    <n v="42.2"/>
    <n v="48.65"/>
    <n v="49.5"/>
    <n v="175"/>
    <x v="0"/>
    <n v="0"/>
    <s v="0 to 3 hours"/>
    <x v="1"/>
    <x v="1"/>
    <x v="0"/>
    <n v="6.0000000000000001E-3"/>
  </r>
  <r>
    <n v="10"/>
    <n v="10"/>
    <n v="13"/>
    <n v="13"/>
    <n v="13"/>
    <n v="13"/>
    <n v="14"/>
    <n v="10"/>
    <n v="10"/>
    <n v="16"/>
    <n v="16"/>
    <n v="17"/>
    <n v="22"/>
    <n v="24"/>
    <n v="16"/>
    <n v="16"/>
    <n v="16"/>
    <n v="22"/>
    <n v="26"/>
    <n v="32"/>
    <n v="38"/>
    <s v="A052"/>
    <n v="53.11"/>
    <n v="23"/>
    <n v="44.1"/>
    <n v="52"/>
    <n v="24.7"/>
    <n v="1.5"/>
    <n v="1039"/>
    <n v="26.5"/>
    <n v="31.8"/>
    <n v="21.5"/>
    <n v="37.1"/>
    <n v="19.3"/>
    <n v="34.700000000000003"/>
    <n v="15.8"/>
    <n v="27.8"/>
    <n v="17.399999999999999"/>
    <n v="35.65"/>
    <n v="43.45"/>
    <n v="42.9"/>
    <n v="159"/>
    <x v="1"/>
    <n v="0"/>
    <s v="3 to 6 hours"/>
    <x v="0"/>
    <x v="0"/>
    <x v="1"/>
    <n v="5.5E-2"/>
  </r>
  <r>
    <n v="10"/>
    <n v="10"/>
    <n v="10"/>
    <n v="10"/>
    <n v="10"/>
    <n v="19"/>
    <n v="20"/>
    <n v="10"/>
    <n v="10"/>
    <n v="10"/>
    <n v="10"/>
    <n v="24"/>
    <n v="30"/>
    <n v="50"/>
    <n v="10"/>
    <n v="10"/>
    <n v="20"/>
    <n v="30"/>
    <n v="30"/>
    <n v="50"/>
    <n v="50"/>
    <s v="A053"/>
    <n v="195.66"/>
    <n v="27"/>
    <n v="109.6"/>
    <n v="42"/>
    <n v="33"/>
    <n v="24"/>
    <n v="2172"/>
    <n v="28.7"/>
    <n v="33"/>
    <n v="19.8"/>
    <n v="46.1"/>
    <n v="24"/>
    <n v="29.6"/>
    <n v="22.7"/>
    <n v="30.5"/>
    <n v="35.4"/>
    <n v="46.05"/>
    <n v="53.25"/>
    <n v="48.15"/>
    <n v="176"/>
    <x v="0"/>
    <s v="1 to 5"/>
    <s v="More than 9 hours"/>
    <x v="1"/>
    <x v="0"/>
    <x v="0"/>
    <n v="8.8999999999999996E-2"/>
  </r>
  <r>
    <n v="10"/>
    <n v="10"/>
    <n v="10"/>
    <n v="10"/>
    <n v="10"/>
    <n v="10"/>
    <n v="10"/>
    <n v="10"/>
    <n v="10"/>
    <n v="10"/>
    <n v="10"/>
    <n v="11"/>
    <n v="11"/>
    <n v="11"/>
    <n v="10"/>
    <n v="11"/>
    <n v="11"/>
    <n v="13"/>
    <n v="13"/>
    <n v="13"/>
    <n v="13"/>
    <s v="A054"/>
    <n v="1.3"/>
    <n v="20"/>
    <n v="72.900000000000006"/>
    <n v="69"/>
    <n v="39.1"/>
    <n v="12.5"/>
    <n v="1423"/>
    <n v="22.3"/>
    <n v="20.5"/>
    <n v="15.2"/>
    <n v="36.200000000000003"/>
    <n v="34.799999999999997"/>
    <n v="50.1"/>
    <n v="31.1"/>
    <n v="44"/>
    <n v="28.8"/>
    <n v="41.35"/>
    <n v="44.9"/>
    <n v="42.35"/>
    <n v="159"/>
    <x v="1"/>
    <s v="1 to 5"/>
    <s v="3 to 6 hours"/>
    <x v="1"/>
    <x v="1"/>
    <x v="1"/>
    <n v="8.9999999999999993E-3"/>
  </r>
  <r>
    <n v="10"/>
    <n v="11"/>
    <n v="11"/>
    <n v="12"/>
    <n v="14"/>
    <n v="13"/>
    <n v="11"/>
    <n v="10"/>
    <n v="10"/>
    <n v="10"/>
    <n v="11"/>
    <n v="20"/>
    <n v="26"/>
    <n v="26"/>
    <n v="10"/>
    <n v="10"/>
    <n v="16"/>
    <n v="26"/>
    <n v="26"/>
    <n v="24"/>
    <n v="22"/>
    <s v="A055"/>
    <n v="40.89"/>
    <n v="31"/>
    <n v="75"/>
    <n v="45"/>
    <n v="35"/>
    <n v="7"/>
    <n v="1482"/>
    <n v="24.7"/>
    <n v="22.9"/>
    <n v="18"/>
    <n v="37.9"/>
    <n v="30.4"/>
    <n v="47"/>
    <n v="26.7"/>
    <n v="41.8"/>
    <n v="25.6"/>
    <n v="41.9"/>
    <n v="52.35"/>
    <n v="47.1"/>
    <n v="171"/>
    <x v="1"/>
    <s v="1 to 5"/>
    <s v="3 to 6 hours"/>
    <x v="1"/>
    <x v="0"/>
    <x v="0"/>
    <n v="0.04"/>
  </r>
  <r>
    <n v="10"/>
    <n v="10"/>
    <n v="10"/>
    <n v="10"/>
    <n v="10"/>
    <n v="10"/>
    <n v="10"/>
    <n v="10"/>
    <n v="10"/>
    <n v="10"/>
    <n v="10"/>
    <n v="14"/>
    <n v="14"/>
    <n v="14"/>
    <n v="14"/>
    <n v="18"/>
    <n v="18"/>
    <n v="18"/>
    <n v="18"/>
    <n v="18"/>
    <n v="18"/>
    <s v="A056"/>
    <n v="12.05"/>
    <n v="29"/>
    <n v="77.099999999999994"/>
    <n v="54"/>
    <n v="21.7"/>
    <n v="9.5"/>
    <n v="1728"/>
    <n v="32.9"/>
    <n v="37"/>
    <n v="26.2"/>
    <n v="50.1"/>
    <n v="15.1"/>
    <n v="19.100000000000001"/>
    <n v="13.4"/>
    <n v="19"/>
    <n v="23.8"/>
    <n v="39.950000000000003"/>
    <n v="48.15"/>
    <n v="48.6"/>
    <n v="180"/>
    <x v="0"/>
    <s v="6 to 15"/>
    <s v="More than 9 hours"/>
    <x v="0"/>
    <x v="1"/>
    <x v="0"/>
    <n v="2.9000000000000001E-2"/>
  </r>
  <r>
    <n v="10"/>
    <n v="10"/>
    <n v="10"/>
    <n v="10"/>
    <n v="10"/>
    <n v="10"/>
    <n v="12"/>
    <n v="10"/>
    <n v="10"/>
    <n v="10"/>
    <n v="11"/>
    <n v="12"/>
    <n v="14"/>
    <n v="14"/>
    <n v="10"/>
    <n v="12"/>
    <n v="14"/>
    <n v="15"/>
    <n v="16"/>
    <n v="15"/>
    <n v="15"/>
    <s v="A057"/>
    <n v="4.5599999999999996"/>
    <n v="21"/>
    <n v="65.3"/>
    <n v="54"/>
    <n v="36.6"/>
    <n v="7.5"/>
    <n v="1322"/>
    <n v="23"/>
    <n v="23.1"/>
    <n v="17"/>
    <n v="35.9"/>
    <n v="30.6"/>
    <n v="48.8"/>
    <n v="27.4"/>
    <n v="42.3"/>
    <n v="24.9"/>
    <n v="42.2"/>
    <n v="45.5"/>
    <n v="40.549999999999997"/>
    <n v="162"/>
    <x v="1"/>
    <s v="1 to 5"/>
    <s v="3 to 6 hours"/>
    <x v="0"/>
    <x v="1"/>
    <x v="1"/>
    <n v="1.6E-2"/>
  </r>
  <r>
    <n v="14"/>
    <n v="15"/>
    <n v="16"/>
    <n v="18"/>
    <n v="18"/>
    <n v="20"/>
    <n v="22"/>
    <n v="12"/>
    <n v="15"/>
    <n v="22"/>
    <n v="22"/>
    <n v="23"/>
    <n v="22"/>
    <n v="26"/>
    <n v="26"/>
    <n v="28"/>
    <n v="27"/>
    <n v="31"/>
    <n v="28"/>
    <n v="26"/>
    <n v="33"/>
    <s v="A058"/>
    <n v="32.47"/>
    <n v="31"/>
    <n v="67.900000000000006"/>
    <n v="59"/>
    <n v="27.5"/>
    <n v="10"/>
    <n v="1537"/>
    <n v="28.8"/>
    <n v="35.200000000000003"/>
    <n v="21.5"/>
    <n v="46.3"/>
    <n v="18.600000000000001"/>
    <n v="24.9"/>
    <n v="16.5"/>
    <n v="25.2"/>
    <n v="23.2"/>
    <n v="39.15"/>
    <n v="47.05"/>
    <n v="46.75"/>
    <n v="171"/>
    <x v="0"/>
    <s v="6 to 15"/>
    <s v="6 to 9 hours"/>
    <x v="0"/>
    <x v="1"/>
    <x v="0"/>
    <n v="4.5999999999999999E-2"/>
  </r>
  <r>
    <n v="10"/>
    <n v="10"/>
    <n v="10"/>
    <n v="12"/>
    <n v="12"/>
    <n v="12"/>
    <n v="12"/>
    <n v="10"/>
    <n v="12"/>
    <n v="13"/>
    <n v="12"/>
    <n v="13"/>
    <n v="16"/>
    <n v="15"/>
    <n v="14"/>
    <n v="18"/>
    <n v="21"/>
    <n v="19"/>
    <n v="18"/>
    <n v="18"/>
    <n v="22"/>
    <s v="A059"/>
    <n v="13.32"/>
    <n v="29"/>
    <n v="92.5"/>
    <n v="41"/>
    <n v="32.4"/>
    <n v="14"/>
    <n v="1910"/>
    <n v="28.9"/>
    <n v="34.1"/>
    <n v="20.2"/>
    <n v="46.3"/>
    <n v="22.4"/>
    <n v="31.9"/>
    <n v="20.399999999999999"/>
    <n v="32.4"/>
    <n v="27.6"/>
    <n v="46.2"/>
    <n v="52.45"/>
    <n v="49.75"/>
    <n v="183"/>
    <x v="0"/>
    <s v="1 to 5"/>
    <s v="3 to 6 hours"/>
    <x v="1"/>
    <x v="0"/>
    <x v="0"/>
    <n v="0.03"/>
  </r>
  <r>
    <n v="10"/>
    <n v="11"/>
    <n v="11"/>
    <n v="13"/>
    <n v="14"/>
    <n v="18"/>
    <n v="15"/>
    <n v="10"/>
    <n v="17"/>
    <n v="26"/>
    <n v="25"/>
    <n v="32"/>
    <n v="34"/>
    <n v="35"/>
    <n v="34"/>
    <n v="32"/>
    <n v="35"/>
    <n v="41"/>
    <n v="34"/>
    <n v="41"/>
    <n v="43"/>
    <s v="A060"/>
    <n v="128.38999999999999"/>
    <n v="28"/>
    <n v="60.5"/>
    <n v="50"/>
    <n v="33.6"/>
    <n v="7.5"/>
    <n v="1262"/>
    <n v="24"/>
    <n v="25.3"/>
    <n v="18"/>
    <n v="36.9"/>
    <n v="29.1"/>
    <n v="44.7"/>
    <n v="25.4"/>
    <n v="39"/>
    <n v="24.9"/>
    <n v="36.85"/>
    <n v="44.65"/>
    <n v="43.55"/>
    <n v="156"/>
    <x v="1"/>
    <s v="1 to 5"/>
    <s v="3 to 6 hours"/>
    <x v="0"/>
    <x v="0"/>
    <x v="1"/>
    <n v="9.8000000000000004E-2"/>
  </r>
  <r>
    <n v="32"/>
    <n v="34"/>
    <n v="34"/>
    <n v="34"/>
    <n v="27"/>
    <n v="26"/>
    <n v="26"/>
    <n v="14"/>
    <n v="20"/>
    <n v="20"/>
    <n v="17"/>
    <n v="19"/>
    <n v="19"/>
    <n v="18"/>
    <n v="12"/>
    <n v="14"/>
    <n v="13"/>
    <n v="14"/>
    <n v="13"/>
    <n v="13"/>
    <n v="14"/>
    <s v="A061"/>
    <n v="57.85"/>
    <n v="22"/>
    <n v="68.8"/>
    <n v="45"/>
    <n v="16.100000000000001"/>
    <n v="8"/>
    <n v="1619"/>
    <n v="35"/>
    <n v="38.799999999999997"/>
    <n v="29.4"/>
    <n v="52.2"/>
    <n v="11.6"/>
    <n v="14.7"/>
    <n v="10.3"/>
    <n v="14.1"/>
    <n v="23.3"/>
    <n v="38.200000000000003"/>
    <n v="47.35"/>
    <n v="47.1"/>
    <n v="172"/>
    <x v="0"/>
    <s v="1 to 5"/>
    <s v="0 to 3 hours"/>
    <x v="0"/>
    <x v="0"/>
    <x v="0"/>
    <n v="-6.2E-2"/>
  </r>
  <r>
    <n v="10"/>
    <n v="10"/>
    <n v="10"/>
    <n v="10"/>
    <n v="10"/>
    <n v="10"/>
    <n v="10"/>
    <n v="10"/>
    <n v="10"/>
    <n v="10"/>
    <n v="10"/>
    <n v="10"/>
    <n v="10"/>
    <n v="10"/>
    <n v="10"/>
    <n v="10"/>
    <n v="10"/>
    <n v="10"/>
    <n v="10"/>
    <n v="10"/>
    <n v="10"/>
    <s v="A062"/>
    <n v="0"/>
    <n v="26"/>
    <n v="63.3"/>
    <n v="53"/>
    <n v="32.9"/>
    <n v="5"/>
    <n v="1311"/>
    <n v="24.8"/>
    <n v="25.7"/>
    <n v="18.8"/>
    <n v="37.700000000000003"/>
    <n v="27.2"/>
    <n v="44.2"/>
    <n v="23.9"/>
    <n v="37.6"/>
    <n v="22.7"/>
    <n v="41.55"/>
    <n v="50"/>
    <n v="45.35"/>
    <n v="167"/>
    <x v="1"/>
    <s v="More than 15"/>
    <s v="3 to 6 hours"/>
    <x v="0"/>
    <x v="1"/>
    <x v="0"/>
    <n v="0"/>
  </r>
  <r>
    <n v="10"/>
    <n v="13"/>
    <n v="15"/>
    <n v="17"/>
    <n v="20"/>
    <n v="23"/>
    <n v="25"/>
    <n v="12"/>
    <n v="19"/>
    <n v="29"/>
    <n v="29"/>
    <n v="31"/>
    <n v="33"/>
    <n v="34"/>
    <n v="21"/>
    <n v="29"/>
    <n v="34"/>
    <n v="37"/>
    <n v="41"/>
    <n v="39"/>
    <n v="39"/>
    <s v="A063"/>
    <n v="88.34"/>
    <n v="28"/>
    <n v="46"/>
    <n v="44"/>
    <n v="30"/>
    <n v="3.5"/>
    <n v="1050"/>
    <n v="24.1"/>
    <n v="28.6"/>
    <n v="19.3"/>
    <n v="35.700000000000003"/>
    <n v="24.1"/>
    <n v="41.1"/>
    <n v="20.9"/>
    <n v="34.299999999999997"/>
    <n v="20.399999999999999"/>
    <n v="37.65"/>
    <n v="45.3"/>
    <n v="38.85"/>
    <n v="150"/>
    <x v="1"/>
    <s v="1 to 5"/>
    <s v="3 to 6 hours"/>
    <x v="0"/>
    <x v="0"/>
    <x v="1"/>
    <n v="7.8E-2"/>
  </r>
  <r>
    <n v="10"/>
    <n v="10"/>
    <n v="10"/>
    <n v="12"/>
    <n v="16"/>
    <n v="16"/>
    <n v="16"/>
    <n v="10"/>
    <n v="10"/>
    <n v="10"/>
    <n v="10"/>
    <n v="12"/>
    <n v="12"/>
    <n v="18"/>
    <n v="10"/>
    <n v="10"/>
    <n v="14"/>
    <n v="16"/>
    <n v="20"/>
    <n v="21"/>
    <n v="28"/>
    <s v="A064"/>
    <n v="22.31"/>
    <n v="27"/>
    <n v="67.599999999999994"/>
    <n v="51"/>
    <n v="24.3"/>
    <n v="10.5"/>
    <n v="1549"/>
    <n v="30.2"/>
    <n v="36.1"/>
    <n v="23.5"/>
    <n v="47.6"/>
    <n v="16.8"/>
    <n v="22.3"/>
    <n v="15"/>
    <n v="22.3"/>
    <n v="24.2"/>
    <n v="38.049999999999997"/>
    <n v="46.15"/>
    <n v="44"/>
    <n v="167"/>
    <x v="0"/>
    <s v="1 to 5"/>
    <s v="3 to 6 hours"/>
    <x v="0"/>
    <x v="0"/>
    <x v="0"/>
    <n v="2.5999999999999999E-2"/>
  </r>
  <r>
    <n v="12"/>
    <n v="16"/>
    <n v="12"/>
    <n v="12"/>
    <n v="12"/>
    <n v="14"/>
    <n v="14"/>
    <n v="12"/>
    <n v="16"/>
    <n v="16"/>
    <n v="16"/>
    <n v="18"/>
    <n v="18"/>
    <n v="20"/>
    <n v="12"/>
    <n v="14"/>
    <n v="16"/>
    <n v="16"/>
    <n v="14"/>
    <n v="18"/>
    <n v="16"/>
    <s v="A065"/>
    <n v="5.57"/>
    <n v="24"/>
    <n v="82.7"/>
    <n v="49"/>
    <n v="38.6"/>
    <n v="12.5"/>
    <n v="1576"/>
    <n v="23.2"/>
    <n v="19.5"/>
    <n v="15.9"/>
    <n v="37"/>
    <n v="35.4"/>
    <n v="51"/>
    <n v="31.3"/>
    <n v="47"/>
    <n v="30"/>
    <n v="41.65"/>
    <n v="47.9"/>
    <n v="47"/>
    <n v="166"/>
    <x v="1"/>
    <s v="6 to 15"/>
    <s v="3 to 6 hours"/>
    <x v="1"/>
    <x v="0"/>
    <x v="1"/>
    <n v="1.0999999999999999E-2"/>
  </r>
  <r>
    <n v="20"/>
    <n v="30"/>
    <n v="28"/>
    <n v="34"/>
    <n v="32"/>
    <n v="30"/>
    <n v="33"/>
    <n v="21"/>
    <n v="33"/>
    <n v="37"/>
    <n v="32"/>
    <n v="32"/>
    <n v="32"/>
    <n v="32"/>
    <n v="27"/>
    <n v="35"/>
    <n v="36"/>
    <n v="31"/>
    <n v="31"/>
    <n v="33"/>
    <n v="33"/>
    <s v="A067"/>
    <n v="16.899999999999999"/>
    <n v="21"/>
    <n v="65.5"/>
    <n v="60"/>
    <n v="36.6"/>
    <n v="10"/>
    <n v="1324"/>
    <n v="22.8"/>
    <n v="22.8"/>
    <n v="16.3"/>
    <n v="36.200000000000003"/>
    <n v="32.1"/>
    <n v="47.7"/>
    <n v="28.5"/>
    <n v="41.7"/>
    <n v="26.9"/>
    <n v="41.65"/>
    <n v="44.1"/>
    <n v="40.9"/>
    <n v="156"/>
    <x v="1"/>
    <s v="1 to 5"/>
    <s v="0 to 3 hours"/>
    <x v="1"/>
    <x v="1"/>
    <x v="1"/>
    <n v="1.6E-2"/>
  </r>
  <r>
    <n v="10"/>
    <n v="10"/>
    <n v="10"/>
    <n v="15"/>
    <n v="14"/>
    <n v="18"/>
    <n v="18"/>
    <n v="10"/>
    <n v="10"/>
    <n v="25"/>
    <n v="27"/>
    <n v="26"/>
    <n v="35"/>
    <n v="37"/>
    <n v="16"/>
    <n v="44"/>
    <n v="56"/>
    <n v="46"/>
    <n v="47"/>
    <n v="52"/>
    <n v="46"/>
    <s v="A068"/>
    <n v="242.18"/>
    <n v="21"/>
    <n v="76.7"/>
    <n v="48"/>
    <n v="26"/>
    <n v="12.5"/>
    <n v="1691"/>
    <n v="30.4"/>
    <n v="35.799999999999997"/>
    <n v="23.1"/>
    <n v="47.7"/>
    <n v="18.100000000000001"/>
    <n v="23.8"/>
    <n v="16.399999999999999"/>
    <n v="23.9"/>
    <n v="26.2"/>
    <n v="39.4"/>
    <n v="49.9"/>
    <n v="47.95"/>
    <n v="171"/>
    <x v="0"/>
    <s v="1 to 5"/>
    <s v="6 to 9 hours"/>
    <x v="1"/>
    <x v="0"/>
    <x v="0"/>
    <n v="0.127"/>
  </r>
  <r>
    <n v="16"/>
    <n v="14"/>
    <n v="15"/>
    <n v="16"/>
    <n v="14"/>
    <n v="13"/>
    <n v="14"/>
    <n v="10"/>
    <n v="13"/>
    <n v="13"/>
    <n v="13"/>
    <n v="13"/>
    <n v="15"/>
    <n v="15"/>
    <n v="14"/>
    <n v="16"/>
    <n v="14"/>
    <n v="12"/>
    <n v="11"/>
    <n v="11"/>
    <n v="11"/>
    <s v="A069"/>
    <n v="2.92"/>
    <s v="15-36"/>
    <n v="140"/>
    <n v="47"/>
    <n v="32.35"/>
    <n v="21.63"/>
    <n v="2051.56"/>
    <n v="28.58"/>
    <n v="33.25"/>
    <n v="19.93"/>
    <n v="45.99"/>
    <n v="23.2"/>
    <n v="29.24"/>
    <n v="21.68"/>
    <n v="30.01"/>
    <n v="32.82"/>
    <n v="51.75"/>
    <n v="50.15"/>
    <n v="45.75"/>
    <n v="175"/>
    <x v="0"/>
    <n v="0"/>
    <s v="3 to 6 hours"/>
    <x v="1"/>
    <x v="0"/>
    <x v="0"/>
    <n v="-7.0000000000000001E-3"/>
  </r>
  <r>
    <n v="10"/>
    <n v="10"/>
    <n v="10"/>
    <n v="10"/>
    <n v="10"/>
    <n v="10"/>
    <n v="10"/>
    <n v="10"/>
    <n v="10"/>
    <n v="10"/>
    <n v="10"/>
    <n v="10"/>
    <n v="10"/>
    <n v="10"/>
    <n v="10"/>
    <n v="10"/>
    <n v="10"/>
    <n v="10"/>
    <n v="10"/>
    <n v="10"/>
    <n v="10"/>
    <s v="A071"/>
    <n v="0"/>
    <n v="14"/>
    <n v="69.599999999999994"/>
    <n v="64"/>
    <n v="27"/>
    <n v="17.5"/>
    <n v="1557"/>
    <n v="27.5"/>
    <n v="33.9"/>
    <n v="20.6"/>
    <n v="44.9"/>
    <n v="19.100000000000001"/>
    <n v="23.4"/>
    <n v="17.5"/>
    <n v="23.8"/>
    <n v="27.9"/>
    <n v="40.299999999999997"/>
    <n v="44.75"/>
    <n v="41.85"/>
    <n v="158"/>
    <x v="0"/>
    <s v="1 to 5"/>
    <s v="0 to 3 hours"/>
    <x v="1"/>
    <x v="1"/>
    <x v="1"/>
    <n v="0"/>
  </r>
  <r>
    <n v="10"/>
    <n v="10"/>
    <n v="10"/>
    <n v="10"/>
    <n v="11"/>
    <n v="10"/>
    <n v="10"/>
    <n v="10"/>
    <n v="11"/>
    <n v="11"/>
    <n v="11"/>
    <n v="11"/>
    <n v="11"/>
    <n v="10"/>
    <n v="10"/>
    <n v="10"/>
    <n v="11"/>
    <n v="11"/>
    <n v="11"/>
    <n v="11"/>
    <n v="10"/>
    <s v="A072"/>
    <n v="0.25"/>
    <n v="24"/>
    <n v="58.8"/>
    <n v="49"/>
    <n v="29.9"/>
    <n v="5"/>
    <n v="1255"/>
    <n v="25.9"/>
    <n v="27.9"/>
    <n v="19.899999999999999"/>
    <n v="39.200000000000003"/>
    <n v="25.9"/>
    <n v="40.200000000000003"/>
    <n v="22"/>
    <n v="34.6"/>
    <n v="23"/>
    <n v="41.1"/>
    <n v="44.65"/>
    <n v="44.3"/>
    <n v="160"/>
    <x v="1"/>
    <s v="1 to 5"/>
    <s v="0 to 3 hours"/>
    <x v="0"/>
    <x v="0"/>
    <x v="1"/>
    <n v="2E-3"/>
  </r>
  <r>
    <n v="12"/>
    <n v="21"/>
    <n v="28"/>
    <n v="34"/>
    <n v="34"/>
    <n v="30"/>
    <n v="29"/>
    <n v="14"/>
    <n v="19"/>
    <n v="19"/>
    <n v="25"/>
    <n v="24"/>
    <n v="23"/>
    <n v="24"/>
    <n v="13"/>
    <n v="19"/>
    <n v="21"/>
    <n v="24"/>
    <n v="24"/>
    <n v="26"/>
    <n v="26"/>
    <s v="A073"/>
    <n v="34.97"/>
    <n v="26"/>
    <n v="79.8"/>
    <n v="58"/>
    <n v="32.1"/>
    <n v="18.5"/>
    <n v="1697"/>
    <n v="26.7"/>
    <n v="33.1"/>
    <n v="18.600000000000001"/>
    <n v="44.2"/>
    <n v="22.4"/>
    <n v="29.6"/>
    <n v="20.6"/>
    <n v="30.3"/>
    <n v="29"/>
    <n v="40.450000000000003"/>
    <n v="48.5"/>
    <n v="41.35"/>
    <n v="166"/>
    <x v="0"/>
    <s v="1 to 5"/>
    <s v="0 to 3 hours"/>
    <x v="1"/>
    <x v="1"/>
    <x v="1"/>
    <n v="-4.0000000000000001E-3"/>
  </r>
  <r>
    <n v="24"/>
    <n v="25"/>
    <n v="29"/>
    <n v="27"/>
    <n v="26"/>
    <n v="27"/>
    <n v="29"/>
    <n v="29"/>
    <n v="29"/>
    <n v="27"/>
    <n v="31"/>
    <n v="29"/>
    <n v="30"/>
    <n v="31"/>
    <n v="31"/>
    <n v="32"/>
    <n v="32"/>
    <n v="32"/>
    <n v="29"/>
    <n v="34"/>
    <n v="32"/>
    <s v="A075"/>
    <n v="6.39"/>
    <n v="23"/>
    <n v="48.4"/>
    <n v="41"/>
    <n v="33.5"/>
    <n v="3"/>
    <n v="1079"/>
    <n v="23.9"/>
    <n v="27.8"/>
    <n v="19.3"/>
    <n v="33.1"/>
    <n v="25.1"/>
    <n v="45.6"/>
    <n v="22.7"/>
    <n v="37.200000000000003"/>
    <n v="19.399999999999999"/>
    <n v="37.5"/>
    <n v="43.95"/>
    <n v="42"/>
    <n v="158"/>
    <x v="1"/>
    <s v="1 to 5"/>
    <s v="6 to 9 hours"/>
    <x v="0"/>
    <x v="0"/>
    <x v="1"/>
    <n v="0.02"/>
  </r>
  <r>
    <n v="14"/>
    <n v="16"/>
    <n v="14"/>
    <n v="14"/>
    <n v="15"/>
    <n v="17"/>
    <n v="17"/>
    <n v="17"/>
    <n v="17"/>
    <n v="17"/>
    <n v="23"/>
    <n v="25"/>
    <n v="25"/>
    <n v="25"/>
    <n v="25"/>
    <n v="25"/>
    <n v="25"/>
    <n v="25"/>
    <n v="25"/>
    <n v="25"/>
    <n v="25"/>
    <s v="A076"/>
    <n v="21.3"/>
    <s v="22-32"/>
    <n v="66.900000000000006"/>
    <n v="55"/>
    <n v="22"/>
    <n v="9.5"/>
    <n v="1549"/>
    <n v="31.1"/>
    <n v="37"/>
    <n v="24.8"/>
    <n v="48.5"/>
    <n v="15.2"/>
    <n v="19.8"/>
    <n v="13.5"/>
    <n v="19.600000000000001"/>
    <n v="23.4"/>
    <n v="38.299999999999997"/>
    <n v="46.2"/>
    <n v="47.1"/>
    <n v="169"/>
    <x v="0"/>
    <s v="6 to 15"/>
    <s v="0 to 3 hours"/>
    <x v="0"/>
    <x v="1"/>
    <x v="0"/>
    <n v="3.7999999999999999E-2"/>
  </r>
  <r>
    <n v="12"/>
    <n v="12"/>
    <n v="12"/>
    <n v="14"/>
    <n v="14"/>
    <n v="14"/>
    <n v="14"/>
    <n v="12"/>
    <n v="12"/>
    <n v="14"/>
    <n v="15"/>
    <n v="17"/>
    <n v="17"/>
    <n v="17"/>
    <n v="14"/>
    <n v="17"/>
    <n v="20"/>
    <n v="23"/>
    <n v="31"/>
    <n v="29"/>
    <n v="27"/>
    <s v="A077"/>
    <n v="31.81"/>
    <n v="20"/>
    <n v="57.5"/>
    <n v="63"/>
    <n v="36.700000000000003"/>
    <n v="7.5"/>
    <n v="1200"/>
    <n v="22"/>
    <n v="23.5"/>
    <n v="16.2"/>
    <n v="34.1"/>
    <n v="30"/>
    <n v="48.1"/>
    <n v="27.1"/>
    <n v="40.200000000000003"/>
    <n v="23.9"/>
    <n v="36.75"/>
    <n v="44.1"/>
    <n v="41.15"/>
    <n v="155"/>
    <x v="1"/>
    <s v="6 to 15"/>
    <s v="3 to 6 hours"/>
    <x v="0"/>
    <x v="1"/>
    <x v="1"/>
    <n v="4.2999999999999997E-2"/>
  </r>
  <r>
    <n v="10"/>
    <n v="12"/>
    <n v="17"/>
    <n v="24"/>
    <n v="25"/>
    <n v="30"/>
    <n v="30"/>
    <n v="30"/>
    <n v="30"/>
    <n v="37"/>
    <n v="37"/>
    <n v="39"/>
    <n v="45"/>
    <n v="47"/>
    <n v="30"/>
    <n v="30"/>
    <n v="37"/>
    <n v="47"/>
    <n v="50"/>
    <n v="50"/>
    <n v="50"/>
    <s v="A078"/>
    <n v="138.22"/>
    <n v="15"/>
    <n v="64.599999999999994"/>
    <n v="57"/>
    <n v="33.5"/>
    <n v="5.5"/>
    <n v="1328"/>
    <n v="24.6"/>
    <n v="25.1"/>
    <n v="18.3"/>
    <n v="37.4"/>
    <n v="27.9"/>
    <n v="44.6"/>
    <n v="24.6"/>
    <n v="37.799999999999997"/>
    <n v="23.2"/>
    <n v="40"/>
    <n v="47.8"/>
    <n v="46.35"/>
    <n v="167"/>
    <x v="1"/>
    <n v="0"/>
    <s v="0 to 3 hours"/>
    <x v="0"/>
    <x v="1"/>
    <x v="0"/>
    <n v="9.6000000000000002E-2"/>
  </r>
  <r>
    <n v="10"/>
    <n v="10"/>
    <n v="10"/>
    <n v="11"/>
    <n v="11"/>
    <n v="13"/>
    <n v="23"/>
    <n v="20"/>
    <n v="20"/>
    <n v="18"/>
    <n v="18"/>
    <n v="18"/>
    <n v="15"/>
    <n v="15"/>
    <n v="15"/>
    <n v="15"/>
    <n v="15"/>
    <n v="15"/>
    <n v="15"/>
    <n v="17"/>
    <n v="21"/>
    <s v="A079"/>
    <n v="13.68"/>
    <n v="31.5"/>
    <n v="68.900000000000006"/>
    <n v="58"/>
    <n v="23.7"/>
    <n v="9.5"/>
    <n v="1574"/>
    <n v="30.6"/>
    <n v="36.1"/>
    <n v="23.9"/>
    <n v="48"/>
    <n v="16.3"/>
    <n v="21.2"/>
    <n v="14.4"/>
    <n v="21.3"/>
    <n v="23"/>
    <n v="37.35"/>
    <n v="45.25"/>
    <n v="47.8"/>
    <n v="173"/>
    <x v="0"/>
    <s v="1 to 5"/>
    <s v="0 to 3 hours"/>
    <x v="0"/>
    <x v="1"/>
    <x v="0"/>
    <n v="1.6E-2"/>
  </r>
  <r>
    <n v="10"/>
    <n v="10"/>
    <n v="10"/>
    <n v="10"/>
    <n v="11"/>
    <n v="11"/>
    <n v="11"/>
    <n v="10"/>
    <n v="10"/>
    <n v="13"/>
    <n v="15"/>
    <n v="16"/>
    <n v="18"/>
    <n v="18"/>
    <n v="10"/>
    <n v="13"/>
    <n v="16"/>
    <n v="14"/>
    <n v="16"/>
    <n v="16"/>
    <n v="16"/>
    <s v="A080"/>
    <n v="8.33"/>
    <n v="27"/>
    <n v="67.3"/>
    <n v="70"/>
    <n v="25.4"/>
    <n v="9.5"/>
    <n v="1534"/>
    <n v="29"/>
    <n v="35.4"/>
    <n v="22.2"/>
    <n v="46.4"/>
    <n v="17.2"/>
    <n v="21.8"/>
    <n v="15.2"/>
    <n v="22.1"/>
    <n v="22.7"/>
    <n v="38.25"/>
    <n v="48.2"/>
    <n v="48.4"/>
    <n v="172"/>
    <x v="0"/>
    <s v="1 to 5"/>
    <s v="0 to 3 hours"/>
    <x v="0"/>
    <x v="1"/>
    <x v="0"/>
    <n v="0.02"/>
  </r>
  <r>
    <n v="10"/>
    <n v="10"/>
    <n v="10"/>
    <n v="10"/>
    <n v="12"/>
    <n v="10"/>
    <n v="10"/>
    <n v="10"/>
    <n v="10"/>
    <n v="10"/>
    <n v="13"/>
    <n v="13"/>
    <n v="15"/>
    <n v="19"/>
    <n v="15"/>
    <n v="18"/>
    <n v="18"/>
    <n v="22"/>
    <n v="21"/>
    <n v="21"/>
    <n v="21"/>
    <s v="A081"/>
    <n v="19.96"/>
    <n v="20"/>
    <n v="44.5"/>
    <n v="63"/>
    <n v="30.3"/>
    <n v="2.5"/>
    <n v="1025"/>
    <n v="23.8"/>
    <n v="28.5"/>
    <n v="18.7"/>
    <n v="34.4"/>
    <n v="22.5"/>
    <n v="40.299999999999997"/>
    <n v="19.899999999999999"/>
    <n v="30.9"/>
    <n v="18.100000000000001"/>
    <n v="36.6"/>
    <n v="45"/>
    <n v="44.1"/>
    <n v="157"/>
    <x v="1"/>
    <s v="1 to 5"/>
    <s v="3 to 6 hours"/>
    <x v="0"/>
    <x v="1"/>
    <x v="1"/>
    <n v="3.6999999999999998E-2"/>
  </r>
  <r>
    <n v="10"/>
    <n v="10"/>
    <n v="10"/>
    <n v="14"/>
    <n v="14"/>
    <n v="14"/>
    <n v="14"/>
    <n v="10"/>
    <n v="14"/>
    <n v="14"/>
    <n v="14"/>
    <n v="14"/>
    <n v="14"/>
    <n v="14"/>
    <n v="10"/>
    <n v="12"/>
    <n v="12"/>
    <n v="12"/>
    <n v="14"/>
    <n v="16"/>
    <n v="16"/>
    <s v="A082"/>
    <n v="3.66"/>
    <n v="21"/>
    <n v="71.599999999999994"/>
    <n v="63"/>
    <n v="29.1"/>
    <n v="13.5"/>
    <n v="1584"/>
    <n v="27.7"/>
    <n v="34.299999999999997"/>
    <n v="20.2"/>
    <n v="45.2"/>
    <n v="20"/>
    <n v="26"/>
    <n v="18"/>
    <n v="26.5"/>
    <n v="25.4"/>
    <n v="37"/>
    <n v="44.55"/>
    <n v="42.5"/>
    <n v="168"/>
    <x v="0"/>
    <s v="1 to 5"/>
    <s v="6 to 9 hours"/>
    <x v="1"/>
    <x v="1"/>
    <x v="0"/>
    <n v="8.0000000000000002E-3"/>
  </r>
  <r>
    <n v="10"/>
    <n v="10"/>
    <n v="10"/>
    <n v="10"/>
    <n v="10"/>
    <n v="10"/>
    <n v="10"/>
    <n v="10"/>
    <n v="10"/>
    <n v="10"/>
    <n v="10"/>
    <n v="10"/>
    <n v="10"/>
    <n v="10"/>
    <n v="10"/>
    <n v="10"/>
    <n v="10"/>
    <n v="10"/>
    <n v="10"/>
    <n v="20"/>
    <n v="22"/>
    <s v="A083"/>
    <n v="10.52"/>
    <n v="21"/>
    <n v="56.8"/>
    <n v="66"/>
    <n v="37.9"/>
    <n v="8.5"/>
    <n v="1183"/>
    <n v="21.2"/>
    <n v="22.8"/>
    <n v="15.4"/>
    <n v="33.9"/>
    <n v="31.1"/>
    <n v="49.3"/>
    <n v="28.2"/>
    <n v="41.4"/>
    <n v="24.6"/>
    <n v="38.25"/>
    <n v="44.65"/>
    <n v="41.5"/>
    <n v="152.4"/>
    <x v="1"/>
    <s v="More than 15"/>
    <s v="3 to 6 hours"/>
    <x v="0"/>
    <x v="1"/>
    <x v="1"/>
    <n v="1.4999999999999999E-2"/>
  </r>
  <r>
    <n v="10"/>
    <n v="10"/>
    <n v="12"/>
    <n v="14"/>
    <n v="14"/>
    <n v="17"/>
    <n v="20"/>
    <n v="10"/>
    <n v="10"/>
    <n v="12"/>
    <n v="14"/>
    <n v="12"/>
    <n v="22"/>
    <n v="22"/>
    <n v="10"/>
    <n v="20"/>
    <n v="20"/>
    <n v="20"/>
    <n v="23"/>
    <n v="31"/>
    <n v="25"/>
    <s v="A084"/>
    <n v="34.53"/>
    <n v="26"/>
    <n v="61.3"/>
    <n v="42"/>
    <n v="34.200000000000003"/>
    <n v="7"/>
    <n v="1272"/>
    <n v="23.8"/>
    <n v="24.9"/>
    <n v="18.100000000000001"/>
    <n v="36.700000000000003"/>
    <n v="29.7"/>
    <n v="46.3"/>
    <n v="26"/>
    <n v="41.2"/>
    <n v="25.2"/>
    <n v="39.700000000000003"/>
    <n v="47.7"/>
    <n v="40.5"/>
    <n v="156"/>
    <x v="1"/>
    <s v="1 to 5"/>
    <s v="6 to 9 hours"/>
    <x v="1"/>
    <x v="0"/>
    <x v="1"/>
    <n v="0.04"/>
  </r>
  <r>
    <n v="10"/>
    <n v="10"/>
    <n v="10"/>
    <n v="10"/>
    <n v="10"/>
    <n v="10"/>
    <n v="10"/>
    <n v="10"/>
    <n v="10"/>
    <n v="10"/>
    <n v="10"/>
    <n v="10"/>
    <n v="12"/>
    <n v="13"/>
    <n v="10"/>
    <n v="10"/>
    <n v="10"/>
    <n v="10"/>
    <n v="10"/>
    <n v="10"/>
    <n v="12"/>
    <s v="A085"/>
    <n v="0.7"/>
    <n v="23"/>
    <n v="59.1"/>
    <n v="60"/>
    <n v="39"/>
    <n v="7.5"/>
    <n v="1214"/>
    <n v="21.2"/>
    <n v="22.3"/>
    <n v="15.6"/>
    <n v="33.6"/>
    <n v="31.4"/>
    <n v="51.4"/>
    <n v="28.8"/>
    <n v="43.5"/>
    <n v="24.3"/>
    <n v="38.35"/>
    <n v="44.5"/>
    <n v="41.6"/>
    <n v="156"/>
    <x v="1"/>
    <s v="1 to 5"/>
    <s v="3 to 6 hours"/>
    <x v="0"/>
    <x v="1"/>
    <x v="1"/>
    <n v="2E-3"/>
  </r>
  <r>
    <n v="11"/>
    <n v="11"/>
    <n v="11"/>
    <n v="11"/>
    <n v="11"/>
    <n v="11"/>
    <n v="12"/>
    <n v="11"/>
    <n v="13"/>
    <n v="12"/>
    <n v="14"/>
    <n v="13"/>
    <n v="13"/>
    <n v="14"/>
    <n v="12"/>
    <n v="13"/>
    <n v="13"/>
    <n v="14"/>
    <n v="13"/>
    <n v="13"/>
    <n v="14"/>
    <s v="A086"/>
    <n v="1.28"/>
    <n v="22"/>
    <n v="50.2"/>
    <n v="50"/>
    <n v="24.8"/>
    <n v="3.5"/>
    <n v="1139"/>
    <n v="27.4"/>
    <n v="31.5"/>
    <n v="21.8"/>
    <n v="40.5"/>
    <n v="21.9"/>
    <n v="34.299999999999997"/>
    <n v="17.5"/>
    <n v="29.2"/>
    <n v="20.9"/>
    <n v="34.700000000000003"/>
    <n v="44.35"/>
    <n v="41.4"/>
    <n v="155"/>
    <x v="1"/>
    <s v="1 to 5"/>
    <s v="0 to 3 hours"/>
    <x v="0"/>
    <x v="0"/>
    <x v="1"/>
    <n v="8.0000000000000002E-3"/>
  </r>
  <r>
    <n v="14"/>
    <n v="14"/>
    <n v="14"/>
    <n v="15"/>
    <n v="14"/>
    <n v="19"/>
    <n v="17"/>
    <n v="14"/>
    <n v="17"/>
    <n v="14"/>
    <n v="17"/>
    <n v="21"/>
    <n v="25"/>
    <n v="25"/>
    <n v="17"/>
    <n v="25"/>
    <n v="25"/>
    <n v="28"/>
    <n v="29"/>
    <n v="30"/>
    <n v="32"/>
    <s v="A087"/>
    <n v="36.49"/>
    <s v="17-21"/>
    <n v="65.400000000000006"/>
    <n v="42"/>
    <n v="27"/>
    <n v="5"/>
    <n v="1514"/>
    <n v="31.4"/>
    <n v="38"/>
    <n v="23.6"/>
    <n v="48.7"/>
    <n v="17.8"/>
    <n v="25.7"/>
    <n v="15.5"/>
    <n v="25.9"/>
    <n v="20.399999999999999"/>
    <n v="39.4"/>
    <n v="49.8"/>
    <n v="53"/>
    <n v="179"/>
    <x v="0"/>
    <s v="6 to 15"/>
    <s v="6 to 9 hours"/>
    <x v="0"/>
    <x v="0"/>
    <x v="0"/>
    <n v="0.05"/>
  </r>
  <r>
    <n v="10"/>
    <n v="10"/>
    <n v="10"/>
    <n v="10"/>
    <n v="10"/>
    <n v="10"/>
    <n v="10"/>
    <n v="10"/>
    <n v="10"/>
    <n v="10"/>
    <n v="10"/>
    <n v="12"/>
    <n v="15"/>
    <n v="26"/>
    <n v="25"/>
    <n v="28"/>
    <n v="26"/>
    <n v="26"/>
    <n v="27"/>
    <n v="27"/>
    <n v="27"/>
    <s v="A088"/>
    <n v="61.57"/>
    <n v="23"/>
    <n v="78.099999999999994"/>
    <n v="43"/>
    <n v="26.9"/>
    <n v="10.5"/>
    <n v="1712"/>
    <n v="30.5"/>
    <n v="37"/>
    <n v="23"/>
    <n v="47.9"/>
    <n v="18.600000000000001"/>
    <n v="25.4"/>
    <n v="16.7"/>
    <n v="25.5"/>
    <n v="25.5"/>
    <n v="41.6"/>
    <n v="47.15"/>
    <n v="49.7"/>
    <n v="175"/>
    <x v="0"/>
    <s v="6 to 15"/>
    <s v="3 to 6 hours"/>
    <x v="1"/>
    <x v="0"/>
    <x v="0"/>
    <n v="6.3E-2"/>
  </r>
  <r>
    <n v="10"/>
    <n v="11"/>
    <n v="11"/>
    <n v="11"/>
    <n v="10"/>
    <n v="10"/>
    <n v="10"/>
    <n v="10"/>
    <n v="10"/>
    <n v="10"/>
    <n v="10"/>
    <n v="10"/>
    <n v="12"/>
    <n v="12"/>
    <n v="10"/>
    <n v="13"/>
    <n v="13"/>
    <n v="13"/>
    <n v="13"/>
    <n v="13"/>
    <n v="13"/>
    <s v="A089"/>
    <n v="1.68"/>
    <s v="25-31"/>
    <n v="80.3"/>
    <n v="45"/>
    <n v="29.4"/>
    <n v="14"/>
    <n v="1729"/>
    <n v="29"/>
    <n v="35.4"/>
    <n v="21.1"/>
    <n v="46.4"/>
    <n v="20.5"/>
    <n v="27.8"/>
    <n v="18.7"/>
    <n v="28.2"/>
    <n v="27.8"/>
    <n v="42.55"/>
    <n v="51.3"/>
    <n v="49.55"/>
    <n v="173"/>
    <x v="0"/>
    <n v="0"/>
    <s v="3 to 6 hours"/>
    <x v="1"/>
    <x v="0"/>
    <x v="0"/>
    <n v="8.9999999999999993E-3"/>
  </r>
  <r>
    <n v="10"/>
    <n v="10"/>
    <n v="10"/>
    <n v="10"/>
    <n v="10"/>
    <n v="10"/>
    <n v="10"/>
    <n v="10"/>
    <n v="10"/>
    <n v="10"/>
    <n v="10"/>
    <n v="10"/>
    <n v="10"/>
    <n v="10"/>
    <n v="10"/>
    <n v="10"/>
    <n v="10"/>
    <n v="10"/>
    <n v="10"/>
    <n v="10"/>
    <n v="10"/>
    <s v="A090"/>
    <n v="0"/>
    <s v="26-28"/>
    <n v="72.3"/>
    <n v="53"/>
    <n v="25.9"/>
    <n v="10.5"/>
    <n v="1619"/>
    <n v="30"/>
    <n v="36.200000000000003"/>
    <n v="22.9"/>
    <n v="47.4"/>
    <n v="17.8"/>
    <n v="23.6"/>
    <n v="15.9"/>
    <n v="23.8"/>
    <n v="24.4"/>
    <n v="40.6"/>
    <n v="46.45"/>
    <n v="45.15"/>
    <n v="172"/>
    <x v="0"/>
    <n v="0"/>
    <s v="0 to 3 hours"/>
    <x v="0"/>
    <x v="1"/>
    <x v="0"/>
    <n v="0"/>
  </r>
  <r>
    <n v="10"/>
    <n v="10"/>
    <n v="10"/>
    <n v="12"/>
    <n v="14"/>
    <n v="16"/>
    <n v="22"/>
    <n v="10"/>
    <n v="12"/>
    <n v="19"/>
    <n v="25"/>
    <n v="29"/>
    <n v="31"/>
    <n v="33"/>
    <n v="15"/>
    <n v="17"/>
    <n v="25"/>
    <n v="33"/>
    <n v="35"/>
    <n v="44"/>
    <n v="45"/>
    <s v="A091"/>
    <n v="120.47"/>
    <s v="29-30"/>
    <n v="55.2"/>
    <n v="51"/>
    <n v="27.7"/>
    <n v="3.5"/>
    <n v="1207"/>
    <n v="26.6"/>
    <n v="29.5"/>
    <n v="20.8"/>
    <n v="39.1"/>
    <n v="23.2"/>
    <n v="37.9"/>
    <n v="19.399999999999999"/>
    <n v="31.8"/>
    <n v="20.8"/>
    <n v="39.4"/>
    <n v="46.4"/>
    <n v="42.65"/>
    <n v="163"/>
    <x v="1"/>
    <s v="More than 15"/>
    <s v="0 to 3 hours"/>
    <x v="0"/>
    <x v="0"/>
    <x v="1"/>
    <n v="8.5000000000000006E-2"/>
  </r>
  <r>
    <n v="10"/>
    <n v="11"/>
    <n v="13"/>
    <n v="15"/>
    <n v="13"/>
    <n v="16"/>
    <n v="15"/>
    <n v="15"/>
    <n v="17"/>
    <n v="17"/>
    <n v="19"/>
    <n v="22"/>
    <n v="24"/>
    <n v="25"/>
    <n v="22"/>
    <n v="27"/>
    <n v="27"/>
    <n v="26"/>
    <n v="29"/>
    <n v="27"/>
    <n v="23"/>
    <s v="A092"/>
    <n v="33.75"/>
    <n v="22"/>
    <n v="47.9"/>
    <n v="48"/>
    <n v="35.200000000000003"/>
    <n v="3"/>
    <n v="1064"/>
    <n v="22.8"/>
    <n v="26.6"/>
    <n v="18"/>
    <n v="33.4"/>
    <n v="26.1"/>
    <n v="47.1"/>
    <n v="24"/>
    <n v="37.700000000000003"/>
    <n v="19.7"/>
    <n v="35.5"/>
    <n v="46.65"/>
    <n v="42.1"/>
    <n v="156"/>
    <x v="1"/>
    <s v="1 to 5"/>
    <s v="0 to 3 hours"/>
    <x v="0"/>
    <x v="0"/>
    <x v="1"/>
    <n v="0.05"/>
  </r>
  <r>
    <n v="10"/>
    <n v="10"/>
    <n v="10"/>
    <n v="10"/>
    <n v="10"/>
    <n v="10"/>
    <n v="11"/>
    <n v="10"/>
    <n v="10"/>
    <n v="10"/>
    <n v="10"/>
    <n v="10"/>
    <n v="10"/>
    <n v="10"/>
    <n v="10"/>
    <n v="10"/>
    <n v="10"/>
    <n v="10"/>
    <n v="10"/>
    <n v="10"/>
    <n v="10"/>
    <s v="A093"/>
    <n v="0.05"/>
    <n v="20"/>
    <n v="60.9"/>
    <n v="43"/>
    <n v="31.5"/>
    <n v="4.5"/>
    <n v="1281"/>
    <n v="25.4"/>
    <n v="26.8"/>
    <n v="19.600000000000001"/>
    <n v="37.9"/>
    <n v="26.5"/>
    <n v="43"/>
    <n v="22.9"/>
    <n v="37.200000000000003"/>
    <n v="22.6"/>
    <n v="39.200000000000003"/>
    <n v="45.35"/>
    <n v="41.5"/>
    <n v="164"/>
    <x v="1"/>
    <s v="1 to 5"/>
    <s v="0 to 3 hours"/>
    <x v="0"/>
    <x v="0"/>
    <x v="1"/>
    <n v="0"/>
  </r>
  <r>
    <n v="11"/>
    <n v="11"/>
    <n v="11"/>
    <n v="11"/>
    <n v="11"/>
    <n v="11"/>
    <n v="11"/>
    <n v="11"/>
    <n v="11"/>
    <n v="11"/>
    <n v="12"/>
    <n v="13"/>
    <n v="13"/>
    <n v="13"/>
    <n v="13"/>
    <n v="13"/>
    <n v="13"/>
    <n v="13"/>
    <n v="13"/>
    <n v="13"/>
    <n v="13"/>
    <s v="A094"/>
    <n v="0.95"/>
    <s v="27-28"/>
    <n v="55.3"/>
    <n v="49"/>
    <n v="26.4"/>
    <n v="3"/>
    <n v="1216"/>
    <n v="27.4"/>
    <n v="30.5"/>
    <n v="21.6"/>
    <n v="39.799999999999997"/>
    <n v="22.2"/>
    <n v="36.5"/>
    <n v="18.3"/>
    <n v="30.7"/>
    <n v="20.3"/>
    <n v="36.5"/>
    <n v="44.4"/>
    <n v="44.85"/>
    <n v="165"/>
    <x v="1"/>
    <s v="6 to 15"/>
    <s v="0 to 3 hours"/>
    <x v="0"/>
    <x v="0"/>
    <x v="1"/>
    <n v="8.0000000000000002E-3"/>
  </r>
  <r>
    <n v="11"/>
    <n v="12"/>
    <n v="11"/>
    <n v="11"/>
    <n v="11"/>
    <n v="11"/>
    <n v="11"/>
    <n v="10"/>
    <n v="11"/>
    <n v="11"/>
    <n v="11"/>
    <n v="11"/>
    <n v="11"/>
    <n v="12"/>
    <n v="10"/>
    <n v="12"/>
    <n v="11"/>
    <n v="12"/>
    <n v="11"/>
    <n v="11"/>
    <n v="11"/>
    <s v="A095"/>
    <n v="0.28000000000000003"/>
    <n v="25"/>
    <n v="63.8"/>
    <n v="51"/>
    <n v="32.700000000000003"/>
    <n v="6"/>
    <n v="1320"/>
    <n v="25"/>
    <n v="25.7"/>
    <n v="18.8"/>
    <n v="37.799999999999997"/>
    <n v="27.8"/>
    <n v="43.7"/>
    <n v="24.2"/>
    <n v="37.700000000000003"/>
    <n v="23.7"/>
    <n v="40.799999999999997"/>
    <n v="45.7"/>
    <n v="43.65"/>
    <n v="164.5"/>
    <x v="1"/>
    <s v="1 to 5"/>
    <s v="6 to 9 hours"/>
    <x v="0"/>
    <x v="0"/>
    <x v="1"/>
    <n v="0"/>
  </r>
  <r>
    <n v="10"/>
    <n v="10"/>
    <n v="10"/>
    <n v="12"/>
    <n v="21"/>
    <n v="21"/>
    <n v="22"/>
    <n v="14"/>
    <n v="12"/>
    <n v="18"/>
    <n v="26"/>
    <n v="34"/>
    <n v="36"/>
    <n v="36"/>
    <n v="30"/>
    <n v="28"/>
    <n v="36"/>
    <n v="36"/>
    <n v="36"/>
    <n v="36"/>
    <n v="36"/>
    <s v="A096"/>
    <n v="104.09"/>
    <n v="18"/>
    <n v="65.599999999999994"/>
    <n v="59"/>
    <n v="32.1"/>
    <n v="6.5"/>
    <n v="1354"/>
    <n v="25.8"/>
    <n v="26.3"/>
    <n v="18.899999999999999"/>
    <n v="39.4"/>
    <n v="28"/>
    <n v="41.9"/>
    <n v="24.1"/>
    <n v="35.700000000000003"/>
    <n v="24.4"/>
    <n v="37.65"/>
    <n v="46.9"/>
    <n v="41.8"/>
    <n v="164"/>
    <x v="1"/>
    <s v="1 to 5"/>
    <s v="3 to 6 hours"/>
    <x v="0"/>
    <x v="1"/>
    <x v="1"/>
    <n v="8.4000000000000005E-2"/>
  </r>
  <r>
    <n v="10"/>
    <n v="10"/>
    <n v="10"/>
    <n v="10"/>
    <n v="10"/>
    <n v="10"/>
    <n v="10"/>
    <n v="10"/>
    <n v="10"/>
    <n v="10"/>
    <n v="10"/>
    <n v="11"/>
    <n v="13"/>
    <n v="14"/>
    <n v="10"/>
    <n v="10"/>
    <n v="12"/>
    <n v="12"/>
    <n v="12"/>
    <n v="12"/>
    <n v="12"/>
    <s v="A097"/>
    <n v="1.46"/>
    <n v="32"/>
    <n v="51.1"/>
    <n v="53"/>
    <n v="39.200000000000003"/>
    <n v="6"/>
    <n v="1094"/>
    <n v="20.7"/>
    <n v="23.5"/>
    <n v="15.8"/>
    <n v="32.200000000000003"/>
    <n v="30.3"/>
    <n v="51.9"/>
    <n v="28.2"/>
    <n v="43.1"/>
    <n v="22.7"/>
    <n v="38.450000000000003"/>
    <n v="46.1"/>
    <n v="43.85"/>
    <n v="150"/>
    <x v="1"/>
    <n v="0"/>
    <s v="0 to 3 hours"/>
    <x v="0"/>
    <x v="1"/>
    <x v="1"/>
    <n v="7.0000000000000001E-3"/>
  </r>
  <r>
    <n v="10"/>
    <n v="12"/>
    <n v="12"/>
    <n v="12"/>
    <n v="13"/>
    <n v="15"/>
    <n v="12"/>
    <n v="10"/>
    <n v="10"/>
    <n v="10"/>
    <n v="13"/>
    <n v="13"/>
    <n v="13"/>
    <n v="13"/>
    <n v="13"/>
    <n v="13"/>
    <n v="15"/>
    <n v="15"/>
    <n v="15"/>
    <n v="15"/>
    <n v="13"/>
    <s v="A098"/>
    <n v="2.78"/>
    <n v="17"/>
    <n v="59.2"/>
    <n v="66"/>
    <n v="40"/>
    <n v="9"/>
    <n v="1210"/>
    <n v="20.5"/>
    <n v="21.5"/>
    <n v="14.8"/>
    <n v="32.9"/>
    <n v="32.4"/>
    <n v="52.2"/>
    <n v="29.8"/>
    <n v="44"/>
    <n v="25"/>
    <n v="41.05"/>
    <n v="45"/>
    <n v="41.55"/>
    <n v="154"/>
    <x v="1"/>
    <s v="6 to 15"/>
    <s v="0 to 3 hours"/>
    <x v="1"/>
    <x v="1"/>
    <x v="1"/>
    <n v="8.9999999999999993E-3"/>
  </r>
  <r>
    <n v="10"/>
    <n v="11"/>
    <n v="11"/>
    <n v="11"/>
    <n v="11"/>
    <n v="11"/>
    <n v="13"/>
    <n v="11"/>
    <n v="13"/>
    <n v="13"/>
    <n v="22"/>
    <n v="13"/>
    <n v="23"/>
    <n v="26"/>
    <n v="32"/>
    <n v="32"/>
    <n v="32"/>
    <n v="32"/>
    <n v="32"/>
    <n v="32"/>
    <n v="32"/>
    <s v="A099"/>
    <n v="87.55"/>
    <s v="32-34"/>
    <n v="82.8"/>
    <n v="42"/>
    <n v="38.799999999999997"/>
    <n v="11.5"/>
    <n v="1576"/>
    <n v="23"/>
    <n v="19.2"/>
    <n v="16"/>
    <n v="36.700000000000003"/>
    <n v="35.5"/>
    <n v="52"/>
    <n v="31.4"/>
    <n v="48.6"/>
    <n v="30"/>
    <n v="46.65"/>
    <n v="49.85"/>
    <n v="45.15"/>
    <n v="166"/>
    <x v="1"/>
    <s v="1 to 5"/>
    <s v="6 to 9 hours"/>
    <x v="1"/>
    <x v="0"/>
    <x v="1"/>
    <n v="7.8E-2"/>
  </r>
  <r>
    <n v="11"/>
    <n v="15"/>
    <n v="14"/>
    <n v="18"/>
    <n v="17"/>
    <n v="19"/>
    <n v="22"/>
    <n v="10"/>
    <n v="15"/>
    <n v="18"/>
    <n v="18"/>
    <n v="20"/>
    <n v="18"/>
    <n v="19"/>
    <n v="17"/>
    <n v="22"/>
    <n v="20"/>
    <n v="21"/>
    <n v="19"/>
    <n v="21"/>
    <n v="19"/>
    <s v="A100"/>
    <n v="9.99"/>
    <s v="31-37"/>
    <n v="81.900000000000006"/>
    <n v="42"/>
    <n v="28.6"/>
    <n v="12"/>
    <n v="1764"/>
    <n v="30"/>
    <n v="35.6"/>
    <n v="22.1"/>
    <n v="47.4"/>
    <n v="19.8"/>
    <n v="27.4"/>
    <n v="17.899999999999999"/>
    <n v="27.7"/>
    <n v="26.1"/>
    <n v="40.950000000000003"/>
    <n v="50.75"/>
    <n v="49.5"/>
    <n v="177"/>
    <x v="0"/>
    <s v="1 to 5"/>
    <s v="More than 9 hours"/>
    <x v="1"/>
    <x v="0"/>
    <x v="0"/>
    <n v="1.7999999999999999E-2"/>
  </r>
  <r>
    <n v="10"/>
    <n v="11"/>
    <n v="14"/>
    <n v="20"/>
    <n v="17"/>
    <n v="16"/>
    <n v="15"/>
    <n v="12"/>
    <n v="15"/>
    <n v="19"/>
    <n v="19"/>
    <n v="16"/>
    <n v="20"/>
    <n v="20"/>
    <n v="12"/>
    <n v="18"/>
    <n v="20"/>
    <n v="17"/>
    <n v="17"/>
    <n v="16"/>
    <n v="19"/>
    <s v="A101"/>
    <n v="9.27"/>
    <s v="21-25"/>
    <n v="71"/>
    <n v="43"/>
    <n v="19.7"/>
    <n v="8.5"/>
    <n v="1637"/>
    <n v="33.5"/>
    <n v="38.1"/>
    <n v="27.2"/>
    <n v="50.7"/>
    <n v="13.9"/>
    <n v="18.3"/>
    <n v="12.3"/>
    <n v="18"/>
    <n v="23.7"/>
    <n v="36.799999999999997"/>
    <n v="45.15"/>
    <n v="47.05"/>
    <n v="173"/>
    <x v="0"/>
    <s v="6 to 15"/>
    <s v="3 to 6 hours"/>
    <x v="0"/>
    <x v="0"/>
    <x v="0"/>
    <n v="1.4E-2"/>
  </r>
  <r>
    <n v="26"/>
    <n v="24"/>
    <n v="32"/>
    <n v="36"/>
    <n v="38"/>
    <n v="40"/>
    <n v="40"/>
    <n v="29"/>
    <n v="44"/>
    <n v="48"/>
    <n v="41"/>
    <n v="59"/>
    <n v="61"/>
    <n v="61"/>
    <n v="59"/>
    <n v="71"/>
    <n v="73"/>
    <n v="74"/>
    <n v="74"/>
    <n v="75"/>
    <n v="76"/>
    <s v="A102"/>
    <n v="307.58"/>
    <n v="29"/>
    <n v="44.4"/>
    <n v="63"/>
    <n v="28.5"/>
    <n v="4"/>
    <n v="1027"/>
    <n v="23.9"/>
    <n v="28.7"/>
    <n v="18.5"/>
    <n v="36.1"/>
    <n v="23.3"/>
    <n v="37.9"/>
    <n v="19.8"/>
    <n v="30.5"/>
    <n v="20.3"/>
    <n v="34.65"/>
    <n v="40.799999999999997"/>
    <n v="38.6"/>
    <n v="148"/>
    <x v="1"/>
    <s v="1 to 5"/>
    <s v="3 to 6 hours"/>
    <x v="0"/>
    <x v="1"/>
    <x v="1"/>
    <n v="0.154"/>
  </r>
  <r>
    <n v="10"/>
    <n v="20"/>
    <n v="35"/>
    <n v="39"/>
    <n v="39"/>
    <n v="42"/>
    <n v="49"/>
    <n v="41"/>
    <n v="29"/>
    <n v="40"/>
    <n v="53"/>
    <n v="39"/>
    <n v="31"/>
    <n v="40"/>
    <n v="40"/>
    <n v="30"/>
    <n v="40"/>
    <n v="42"/>
    <n v="45"/>
    <n v="43"/>
    <n v="45"/>
    <s v="A103"/>
    <n v="87.54"/>
    <n v="21"/>
    <n v="70.400000000000006"/>
    <n v="62"/>
    <n v="39.200000000000003"/>
    <n v="10.5"/>
    <n v="1384"/>
    <n v="21.9"/>
    <n v="20.6"/>
    <n v="15.5"/>
    <n v="34.799999999999997"/>
    <n v="33.4"/>
    <n v="51.6"/>
    <n v="30.2"/>
    <n v="45.2"/>
    <n v="26.8"/>
    <n v="41.3"/>
    <n v="50.6"/>
    <n v="43.6"/>
    <n v="162"/>
    <x v="1"/>
    <s v="More than 15"/>
    <s v="6 to 9 hours"/>
    <x v="1"/>
    <x v="1"/>
    <x v="1"/>
    <n v="4.2000000000000003E-2"/>
  </r>
  <r>
    <n v="10"/>
    <n v="10"/>
    <n v="10"/>
    <n v="10"/>
    <n v="10"/>
    <n v="10"/>
    <n v="10"/>
    <n v="10"/>
    <n v="10"/>
    <n v="10"/>
    <n v="10"/>
    <n v="11"/>
    <n v="11"/>
    <n v="11"/>
    <n v="11"/>
    <n v="11"/>
    <n v="11"/>
    <n v="11"/>
    <n v="11"/>
    <n v="11"/>
    <n v="11"/>
    <s v="A104"/>
    <n v="0.25"/>
    <s v="22-23"/>
    <n v="63.4"/>
    <n v="65"/>
    <n v="30.7"/>
    <n v="10"/>
    <n v="1447"/>
    <n v="26.8"/>
    <n v="34.299999999999997"/>
    <n v="19.100000000000001"/>
    <n v="44.3"/>
    <n v="20.5"/>
    <n v="27.3"/>
    <n v="18.2"/>
    <n v="28"/>
    <n v="22.7"/>
    <n v="37.700000000000003"/>
    <n v="45.95"/>
    <n v="45.9"/>
    <n v="167"/>
    <x v="0"/>
    <s v="1 to 5"/>
    <s v="0 to 3 hours"/>
    <x v="0"/>
    <x v="1"/>
    <x v="0"/>
    <n v="4.0000000000000001E-3"/>
  </r>
  <r>
    <n v="10"/>
    <n v="10"/>
    <n v="10"/>
    <n v="10"/>
    <n v="10"/>
    <n v="10"/>
    <n v="12"/>
    <n v="10"/>
    <n v="10"/>
    <n v="10"/>
    <n v="10"/>
    <n v="10"/>
    <n v="12"/>
    <n v="12"/>
    <n v="10"/>
    <n v="10"/>
    <n v="12"/>
    <n v="12"/>
    <n v="14"/>
    <n v="14"/>
    <n v="14"/>
    <s v="A105"/>
    <n v="2.14"/>
    <n v="15"/>
    <n v="52.9"/>
    <n v="62"/>
    <n v="32"/>
    <n v="4"/>
    <n v="1151"/>
    <n v="24.1"/>
    <n v="27"/>
    <n v="18.5"/>
    <n v="36"/>
    <n v="25.1"/>
    <n v="42.5"/>
    <n v="22.2"/>
    <n v="34.200000000000003"/>
    <n v="20.399999999999999"/>
    <n v="36.85"/>
    <n v="46"/>
    <n v="43"/>
    <n v="161"/>
    <x v="1"/>
    <s v="1 to 5"/>
    <s v="3 to 6 hours"/>
    <x v="0"/>
    <x v="1"/>
    <x v="1"/>
    <n v="0.01"/>
  </r>
  <r>
    <n v="10"/>
    <n v="10"/>
    <n v="10"/>
    <n v="10"/>
    <n v="11"/>
    <n v="11"/>
    <n v="11"/>
    <n v="11"/>
    <n v="11"/>
    <n v="11"/>
    <n v="11"/>
    <n v="11"/>
    <n v="11"/>
    <n v="11"/>
    <n v="11"/>
    <n v="11"/>
    <n v="11"/>
    <n v="11"/>
    <n v="11"/>
    <n v="11"/>
    <n v="11"/>
    <s v="A106"/>
    <n v="0.15"/>
    <n v="22"/>
    <n v="62.3"/>
    <n v="67"/>
    <n v="38.799999999999997"/>
    <n v="11"/>
    <n v="1262"/>
    <n v="21.2"/>
    <n v="21.6"/>
    <n v="15"/>
    <n v="34.4"/>
    <n v="33.200000000000003"/>
    <n v="50.1"/>
    <n v="29.9"/>
    <n v="43.2"/>
    <n v="27"/>
    <n v="39.25"/>
    <n v="46.9"/>
    <n v="38.1"/>
    <n v="152"/>
    <x v="1"/>
    <s v="1 to 5"/>
    <s v="0 to 3 hours"/>
    <x v="1"/>
    <x v="1"/>
    <x v="1"/>
    <n v="2E-3"/>
  </r>
  <r>
    <n v="10"/>
    <n v="10"/>
    <n v="10"/>
    <n v="12"/>
    <n v="12"/>
    <n v="12"/>
    <n v="19"/>
    <n v="14"/>
    <n v="14"/>
    <n v="21"/>
    <n v="23"/>
    <n v="23"/>
    <n v="25"/>
    <n v="25"/>
    <n v="23"/>
    <n v="25"/>
    <n v="27"/>
    <n v="31"/>
    <n v="30"/>
    <n v="33"/>
    <n v="35"/>
    <s v="A107"/>
    <n v="62.98"/>
    <s v="31-36"/>
    <n v="78.900000000000006"/>
    <n v="54"/>
    <n v="25.5"/>
    <n v="10.5"/>
    <n v="1733"/>
    <n v="31"/>
    <n v="36"/>
    <n v="23.7"/>
    <n v="48.3"/>
    <n v="17.5"/>
    <n v="23"/>
    <n v="15.7"/>
    <n v="23.2"/>
    <n v="24.4"/>
    <n v="40.450000000000003"/>
    <n v="47.05"/>
    <n v="49.7"/>
    <n v="180"/>
    <x v="0"/>
    <s v="1 to 5"/>
    <s v="3 to 6 hours"/>
    <x v="0"/>
    <x v="1"/>
    <x v="0"/>
    <n v="7.0000000000000007E-2"/>
  </r>
  <r>
    <n v="10"/>
    <n v="10"/>
    <n v="11"/>
    <n v="11"/>
    <n v="11"/>
    <n v="11"/>
    <n v="11"/>
    <n v="11"/>
    <n v="11"/>
    <n v="12"/>
    <n v="13"/>
    <n v="15"/>
    <n v="17"/>
    <n v="19"/>
    <n v="19"/>
    <n v="17"/>
    <n v="22"/>
    <n v="25"/>
    <n v="24"/>
    <n v="24"/>
    <n v="25"/>
    <s v="A108"/>
    <n v="29.37"/>
    <s v="32, 36, 33"/>
    <n v="68.8"/>
    <n v="55"/>
    <n v="36.4"/>
    <n v="7.5"/>
    <n v="1377"/>
    <n v="23.3"/>
    <n v="22.7"/>
    <n v="17"/>
    <n v="36.6"/>
    <n v="30.8"/>
    <n v="48.3"/>
    <n v="27.5"/>
    <n v="42"/>
    <n v="25.3"/>
    <n v="42.55"/>
    <n v="46.15"/>
    <n v="44.75"/>
    <n v="165"/>
    <x v="1"/>
    <s v="1 to 5"/>
    <s v="6 to 9 hours"/>
    <x v="1"/>
    <x v="1"/>
    <x v="1"/>
    <n v="4.5999999999999999E-2"/>
  </r>
  <r>
    <n v="10"/>
    <n v="10"/>
    <n v="10"/>
    <n v="10"/>
    <n v="14"/>
    <n v="14"/>
    <n v="16"/>
    <n v="10"/>
    <n v="10"/>
    <n v="12"/>
    <n v="14"/>
    <n v="22"/>
    <n v="25"/>
    <n v="27"/>
    <n v="16"/>
    <n v="16"/>
    <n v="27"/>
    <n v="37"/>
    <n v="30"/>
    <n v="37"/>
    <n v="36"/>
    <s v="A109"/>
    <n v="88.92"/>
    <s v="24, 22"/>
    <n v="69.900000000000006"/>
    <n v="53"/>
    <n v="26"/>
    <n v="11.5"/>
    <n v="1577"/>
    <n v="29.5"/>
    <n v="35.799999999999997"/>
    <n v="22.5"/>
    <n v="46.9"/>
    <n v="17.899999999999999"/>
    <n v="23.7"/>
    <n v="16.100000000000001"/>
    <n v="23.9"/>
    <n v="24.8"/>
    <n v="37.35"/>
    <n v="48.35"/>
    <n v="44.85"/>
    <n v="168"/>
    <x v="0"/>
    <s v="6 to 15"/>
    <s v="3 to 6 hours"/>
    <x v="0"/>
    <x v="1"/>
    <x v="0"/>
    <n v="7.4999999999999997E-2"/>
  </r>
  <r>
    <n v="46"/>
    <n v="46"/>
    <n v="50"/>
    <n v="59"/>
    <n v="60"/>
    <n v="60"/>
    <n v="60"/>
    <n v="60"/>
    <n v="60"/>
    <n v="60"/>
    <n v="60"/>
    <n v="70"/>
    <n v="70"/>
    <n v="70"/>
    <n v="60"/>
    <n v="70"/>
    <n v="70"/>
    <n v="80"/>
    <n v="80"/>
    <n v="80"/>
    <n v="80"/>
    <s v="A110"/>
    <n v="104.7"/>
    <n v="32"/>
    <n v="53.3"/>
    <n v="48"/>
    <n v="38.1"/>
    <n v="6.5"/>
    <n v="1131"/>
    <n v="21.2"/>
    <n v="23.6"/>
    <n v="16.100000000000001"/>
    <n v="33.299999999999997"/>
    <n v="30.5"/>
    <n v="50.8"/>
    <n v="27.9"/>
    <n v="43.3"/>
    <n v="23.7"/>
    <n v="39.5"/>
    <n v="44.25"/>
    <n v="40.15"/>
    <n v="150"/>
    <x v="1"/>
    <s v="6 to 15"/>
    <s v="6 to 9 hours"/>
    <x v="0"/>
    <x v="0"/>
    <x v="1"/>
    <n v="8.6999999999999994E-2"/>
  </r>
  <r>
    <n v="10"/>
    <n v="10"/>
    <n v="10"/>
    <n v="10"/>
    <n v="11"/>
    <n v="11"/>
    <n v="11"/>
    <n v="10"/>
    <n v="10"/>
    <n v="10"/>
    <n v="10"/>
    <n v="11"/>
    <n v="11"/>
    <n v="10"/>
    <n v="10"/>
    <n v="10"/>
    <n v="12"/>
    <n v="12"/>
    <n v="12"/>
    <n v="13"/>
    <n v="11"/>
    <s v="A111"/>
    <n v="0.78"/>
    <s v="20, 23"/>
    <n v="93.9"/>
    <n v="56"/>
    <n v="29.1"/>
    <n v="21.5"/>
    <n v="1951"/>
    <n v="29.9"/>
    <n v="33.799999999999997"/>
    <n v="21.9"/>
    <n v="47.2"/>
    <n v="21"/>
    <n v="24.2"/>
    <n v="19.600000000000001"/>
    <n v="24.9"/>
    <n v="31.7"/>
    <n v="39.9"/>
    <n v="50.55"/>
    <n v="44.7"/>
    <n v="172"/>
    <x v="0"/>
    <s v="1 to 5"/>
    <s v="3 to 6 hours"/>
    <x v="1"/>
    <x v="1"/>
    <x v="0"/>
    <n v="5.0000000000000001E-3"/>
  </r>
  <r>
    <n v="10"/>
    <n v="10"/>
    <n v="14"/>
    <n v="12"/>
    <n v="16"/>
    <n v="16"/>
    <n v="16"/>
    <n v="16"/>
    <n v="16"/>
    <n v="24"/>
    <n v="20"/>
    <n v="20"/>
    <n v="20"/>
    <n v="20"/>
    <n v="16"/>
    <n v="20"/>
    <n v="20"/>
    <n v="20"/>
    <n v="20"/>
    <n v="20"/>
    <n v="20"/>
    <s v="A112"/>
    <n v="13.01"/>
    <n v="30"/>
    <n v="81.5"/>
    <n v="42"/>
    <n v="26.3"/>
    <n v="10.5"/>
    <n v="1774"/>
    <n v="31.3"/>
    <n v="36"/>
    <n v="23.7"/>
    <n v="48.6"/>
    <n v="18.2"/>
    <n v="25"/>
    <n v="16.399999999999999"/>
    <n v="25.1"/>
    <n v="25.2"/>
    <n v="39.75"/>
    <n v="51.55"/>
    <n v="50.5"/>
    <n v="180"/>
    <x v="0"/>
    <s v="6 to 15"/>
    <s v="3 to 6 hours"/>
    <x v="1"/>
    <x v="0"/>
    <x v="0"/>
    <n v="2.5999999999999999E-2"/>
  </r>
  <r>
    <n v="11"/>
    <n v="11"/>
    <n v="11"/>
    <n v="12"/>
    <n v="13"/>
    <n v="12"/>
    <n v="12"/>
    <n v="12"/>
    <n v="11"/>
    <n v="13"/>
    <n v="13"/>
    <n v="11"/>
    <n v="12"/>
    <n v="22"/>
    <n v="24"/>
    <n v="22"/>
    <n v="22"/>
    <n v="23"/>
    <n v="22"/>
    <n v="22"/>
    <n v="23"/>
    <s v="A113"/>
    <n v="27.32"/>
    <n v="31"/>
    <n v="61.1"/>
    <n v="53"/>
    <n v="19.8"/>
    <n v="6.5"/>
    <n v="1464"/>
    <n v="31.8"/>
    <n v="37.9"/>
    <n v="26"/>
    <n v="49.1"/>
    <n v="13.5"/>
    <n v="18.2"/>
    <n v="11.8"/>
    <n v="17.899999999999999"/>
    <n v="21.4"/>
    <n v="38.85"/>
    <n v="45.3"/>
    <n v="47.2"/>
    <n v="169"/>
    <x v="0"/>
    <s v="1 to 5"/>
    <s v="0 to 3 hours"/>
    <x v="0"/>
    <x v="1"/>
    <x v="0"/>
    <n v="0.04"/>
  </r>
  <r>
    <n v="10"/>
    <n v="10"/>
    <n v="10"/>
    <n v="11"/>
    <n v="11"/>
    <n v="13"/>
    <n v="12"/>
    <n v="10"/>
    <n v="11"/>
    <n v="11"/>
    <n v="16"/>
    <n v="21"/>
    <n v="16"/>
    <n v="20"/>
    <n v="19"/>
    <n v="21"/>
    <n v="28"/>
    <n v="17"/>
    <n v="29"/>
    <n v="23"/>
    <n v="18"/>
    <s v="A114"/>
    <n v="33.85"/>
    <n v="29"/>
    <n v="63.2"/>
    <n v="51"/>
    <n v="39"/>
    <n v="7.5"/>
    <n v="1278"/>
    <n v="21.8"/>
    <n v="22.1"/>
    <n v="16.2"/>
    <n v="34"/>
    <n v="31.7"/>
    <n v="52.4"/>
    <n v="29"/>
    <n v="45.5"/>
    <n v="24.7"/>
    <n v="44"/>
    <n v="46.45"/>
    <n v="42.55"/>
    <n v="160"/>
    <x v="1"/>
    <s v="1 to 5"/>
    <s v="3 to 6 hours"/>
    <x v="0"/>
    <x v="0"/>
    <x v="1"/>
    <n v="4.3999999999999997E-2"/>
  </r>
  <r>
    <n v="10"/>
    <n v="10"/>
    <n v="11"/>
    <n v="11"/>
    <n v="10"/>
    <n v="10"/>
    <n v="12"/>
    <n v="12"/>
    <n v="12"/>
    <n v="10"/>
    <n v="15"/>
    <n v="16"/>
    <n v="17"/>
    <n v="18"/>
    <n v="14"/>
    <n v="14"/>
    <n v="15"/>
    <n v="15"/>
    <n v="18"/>
    <n v="15"/>
    <n v="14"/>
    <s v="A115"/>
    <n v="7.06"/>
    <s v="18, 30, 20"/>
    <n v="64.400000000000006"/>
    <n v="46"/>
    <n v="22"/>
    <n v="8"/>
    <n v="1511"/>
    <n v="31.5"/>
    <n v="37.6"/>
    <n v="25.1"/>
    <n v="48.8"/>
    <n v="15.1"/>
    <n v="20.7"/>
    <n v="13.4"/>
    <n v="20.5"/>
    <n v="22.8"/>
    <n v="38.65"/>
    <n v="44.15"/>
    <n v="45.95"/>
    <n v="168"/>
    <x v="0"/>
    <s v="1 to 5"/>
    <s v="6 to 9 hours"/>
    <x v="0"/>
    <x v="0"/>
    <x v="0"/>
    <n v="1.9E-2"/>
  </r>
  <r>
    <n v="10"/>
    <n v="10"/>
    <n v="10"/>
    <n v="12"/>
    <n v="14"/>
    <n v="16"/>
    <n v="16"/>
    <n v="10"/>
    <n v="12"/>
    <n v="14"/>
    <n v="14"/>
    <n v="14"/>
    <n v="12"/>
    <n v="16"/>
    <n v="12"/>
    <n v="14"/>
    <n v="16"/>
    <n v="14"/>
    <n v="14"/>
    <n v="14"/>
    <n v="14"/>
    <s v="A116"/>
    <n v="3.99"/>
    <n v="25"/>
    <n v="59.2"/>
    <n v="52"/>
    <n v="16.399999999999999"/>
    <n v="3"/>
    <n v="1452"/>
    <n v="34"/>
    <n v="39.6"/>
    <n v="28.6"/>
    <n v="51.2"/>
    <n v="11"/>
    <n v="15.6"/>
    <n v="9.3000000000000007"/>
    <n v="14.9"/>
    <n v="18.899999999999999"/>
    <n v="36.450000000000003"/>
    <n v="43.55"/>
    <n v="49"/>
    <n v="177"/>
    <x v="0"/>
    <n v="0"/>
    <s v="More than 9 hours"/>
    <x v="0"/>
    <x v="0"/>
    <x v="0"/>
    <n v="8.9999999999999993E-3"/>
  </r>
  <r>
    <n v="10"/>
    <n v="10"/>
    <n v="10"/>
    <n v="14"/>
    <n v="16"/>
    <n v="22"/>
    <n v="20"/>
    <n v="12"/>
    <n v="18"/>
    <n v="14"/>
    <n v="16"/>
    <n v="16"/>
    <n v="18"/>
    <n v="22"/>
    <n v="16"/>
    <n v="23"/>
    <n v="23"/>
    <n v="24"/>
    <n v="24"/>
    <n v="23"/>
    <n v="24"/>
    <s v="A117"/>
    <n v="23.55"/>
    <n v="20"/>
    <n v="52"/>
    <n v="69"/>
    <n v="31.6"/>
    <n v="4.5"/>
    <n v="1137"/>
    <n v="23.9"/>
    <n v="27"/>
    <n v="18.100000000000001"/>
    <n v="36.299999999999997"/>
    <n v="25.4"/>
    <n v="41.3"/>
    <n v="22.3"/>
    <n v="33.1"/>
    <n v="21.1"/>
    <n v="38.5"/>
    <n v="45.45"/>
    <n v="42.65"/>
    <n v="157"/>
    <x v="1"/>
    <s v="1 to 5"/>
    <s v="3 to 6 hours"/>
    <x v="0"/>
    <x v="1"/>
    <x v="1"/>
    <n v="3.6999999999999998E-2"/>
  </r>
  <r>
    <n v="26"/>
    <n v="33"/>
    <n v="33"/>
    <n v="39"/>
    <n v="42"/>
    <n v="42"/>
    <n v="43"/>
    <n v="35"/>
    <n v="43"/>
    <n v="43"/>
    <n v="43"/>
    <n v="49"/>
    <n v="49"/>
    <n v="49"/>
    <n v="43"/>
    <n v="48"/>
    <n v="52"/>
    <n v="53"/>
    <n v="53"/>
    <n v="53"/>
    <n v="53"/>
    <s v="A118"/>
    <n v="55.43"/>
    <s v="32-35"/>
    <n v="74.599999999999994"/>
    <n v="50"/>
    <n v="37"/>
    <n v="12"/>
    <n v="1463"/>
    <n v="23.6"/>
    <n v="21.7"/>
    <n v="16.600000000000001"/>
    <n v="37.4"/>
    <n v="34.200000000000003"/>
    <n v="48.4"/>
    <n v="30"/>
    <n v="44.2"/>
    <n v="29.5"/>
    <n v="41.3"/>
    <n v="47.4"/>
    <n v="42"/>
    <n v="159"/>
    <x v="1"/>
    <s v="6 to 15"/>
    <s v="3 to 6 hours"/>
    <x v="1"/>
    <x v="0"/>
    <x v="1"/>
    <n v="6.2E-2"/>
  </r>
  <r>
    <n v="10"/>
    <n v="13"/>
    <n v="16"/>
    <n v="16"/>
    <n v="16"/>
    <n v="16"/>
    <n v="16"/>
    <n v="16"/>
    <n v="16"/>
    <n v="16"/>
    <n v="16"/>
    <n v="18"/>
    <n v="18"/>
    <n v="20"/>
    <n v="19"/>
    <n v="19"/>
    <n v="19"/>
    <n v="21"/>
    <n v="22"/>
    <n v="23"/>
    <n v="23"/>
    <s v="A119"/>
    <n v="9.67"/>
    <n v="17"/>
    <n v="64.599999999999994"/>
    <n v="62"/>
    <n v="37"/>
    <n v="8.5"/>
    <n v="1308"/>
    <n v="22.6"/>
    <n v="22.8"/>
    <n v="16.3"/>
    <n v="35.799999999999997"/>
    <n v="31.3"/>
    <n v="48.3"/>
    <n v="28"/>
    <n v="41.5"/>
    <n v="25.6"/>
    <n v="41.95"/>
    <n v="49.3"/>
    <n v="44.15"/>
    <n v="159"/>
    <x v="1"/>
    <s v="1 to 5"/>
    <s v="3 to 6 hours"/>
    <x v="1"/>
    <x v="1"/>
    <x v="1"/>
    <n v="2.5999999999999999E-2"/>
  </r>
  <r>
    <n v="10"/>
    <n v="10"/>
    <n v="10"/>
    <n v="10"/>
    <n v="10"/>
    <n v="10"/>
    <n v="10"/>
    <n v="10"/>
    <n v="10"/>
    <n v="10"/>
    <n v="10"/>
    <n v="10"/>
    <n v="10"/>
    <n v="10"/>
    <n v="10"/>
    <n v="10"/>
    <n v="10"/>
    <n v="10"/>
    <n v="11"/>
    <n v="10"/>
    <n v="12"/>
    <s v="A120"/>
    <n v="0.22"/>
    <s v="27-30"/>
    <n v="59.3"/>
    <n v="58"/>
    <n v="20.399999999999999"/>
    <n v="5"/>
    <n v="1433"/>
    <n v="31.7"/>
    <n v="37.4"/>
    <n v="25.7"/>
    <n v="49"/>
    <n v="13.6"/>
    <n v="18.399999999999999"/>
    <n v="11.6"/>
    <n v="18.2"/>
    <n v="19.600000000000001"/>
    <n v="36.799999999999997"/>
    <n v="46.1"/>
    <n v="47.3"/>
    <n v="174"/>
    <x v="0"/>
    <s v="1 to 5"/>
    <s v="0 to 3 hours"/>
    <x v="0"/>
    <x v="1"/>
    <x v="0"/>
    <n v="2E-3"/>
  </r>
  <r>
    <n v="10"/>
    <n v="13"/>
    <n v="14"/>
    <n v="16"/>
    <n v="18"/>
    <n v="23"/>
    <n v="26"/>
    <n v="24"/>
    <n v="26"/>
    <n v="28"/>
    <n v="32"/>
    <n v="33"/>
    <n v="35"/>
    <n v="35"/>
    <n v="33"/>
    <n v="35"/>
    <n v="37"/>
    <n v="37"/>
    <n v="39"/>
    <n v="39"/>
    <n v="41"/>
    <s v="A121"/>
    <n v="86.78"/>
    <n v="32"/>
    <n v="49.4"/>
    <n v="59"/>
    <n v="28.4"/>
    <n v="7.5"/>
    <n v="1230"/>
    <n v="25.7"/>
    <n v="34.5"/>
    <n v="18.899999999999999"/>
    <n v="43.3"/>
    <n v="18.899999999999999"/>
    <n v="24.9"/>
    <n v="16.5"/>
    <n v="25.4"/>
    <n v="21.4"/>
    <n v="35.4"/>
    <n v="43.85"/>
    <n v="40.75"/>
    <n v="152"/>
    <x v="1"/>
    <s v="1 to 5"/>
    <s v="6 to 9 hours"/>
    <x v="0"/>
    <x v="1"/>
    <x v="1"/>
    <n v="8.3000000000000004E-2"/>
  </r>
  <r>
    <n v="12"/>
    <n v="14"/>
    <n v="13"/>
    <n v="12"/>
    <n v="14"/>
    <n v="14"/>
    <n v="14"/>
    <n v="12"/>
    <n v="12"/>
    <n v="12"/>
    <n v="16"/>
    <n v="13"/>
    <n v="13"/>
    <n v="13"/>
    <n v="11"/>
    <n v="12"/>
    <n v="13"/>
    <n v="13"/>
    <n v="13"/>
    <n v="14"/>
    <n v="16"/>
    <s v="A122"/>
    <n v="1.55"/>
    <n v="24"/>
    <n v="72.2"/>
    <n v="68"/>
    <n v="30.2"/>
    <n v="14"/>
    <n v="1586"/>
    <n v="26.9"/>
    <n v="33.9"/>
    <n v="19.3"/>
    <n v="44.4"/>
    <n v="20.7"/>
    <n v="26.7"/>
    <n v="18.600000000000001"/>
    <n v="27.3"/>
    <n v="25.6"/>
    <n v="40.549999999999997"/>
    <n v="45"/>
    <n v="46.05"/>
    <n v="168"/>
    <x v="0"/>
    <s v="1 to 5"/>
    <s v="3 to 6 hours"/>
    <x v="1"/>
    <x v="1"/>
    <x v="0"/>
    <n v="2E-3"/>
  </r>
  <r>
    <n v="10"/>
    <n v="11"/>
    <n v="11"/>
    <n v="12"/>
    <n v="14"/>
    <n v="14"/>
    <n v="15"/>
    <n v="10"/>
    <n v="10"/>
    <n v="12"/>
    <n v="14"/>
    <n v="14"/>
    <n v="14"/>
    <n v="14"/>
    <n v="10"/>
    <n v="10"/>
    <n v="12"/>
    <n v="14"/>
    <n v="14"/>
    <n v="14"/>
    <n v="14"/>
    <s v="A123"/>
    <n v="3.11"/>
    <n v="27"/>
    <n v="71.2"/>
    <n v="62"/>
    <n v="23.2"/>
    <n v="10.5"/>
    <n v="1613"/>
    <n v="30.7"/>
    <n v="36.200000000000003"/>
    <n v="24.2"/>
    <n v="48.1"/>
    <n v="16.100000000000001"/>
    <n v="20.100000000000001"/>
    <n v="14.4"/>
    <n v="20.100000000000001"/>
    <n v="24.1"/>
    <n v="39.200000000000003"/>
    <n v="46.55"/>
    <n v="49.3"/>
    <n v="172"/>
    <x v="0"/>
    <s v="More than 15"/>
    <s v="0 to 3 hours"/>
    <x v="0"/>
    <x v="1"/>
    <x v="0"/>
    <n v="6.0000000000000001E-3"/>
  </r>
  <r>
    <n v="10"/>
    <n v="10"/>
    <n v="26"/>
    <n v="21"/>
    <n v="26"/>
    <n v="26"/>
    <n v="24"/>
    <n v="10"/>
    <n v="12"/>
    <n v="16"/>
    <n v="22"/>
    <n v="28"/>
    <n v="24"/>
    <n v="20"/>
    <n v="12"/>
    <n v="18"/>
    <n v="22"/>
    <n v="22"/>
    <n v="24"/>
    <n v="22"/>
    <n v="22"/>
    <s v="A124"/>
    <n v="32.79"/>
    <n v="32"/>
    <n v="50"/>
    <n v="61"/>
    <n v="32.700000000000003"/>
    <n v="3.5"/>
    <n v="1102"/>
    <n v="23.4"/>
    <n v="26.9"/>
    <n v="18.2"/>
    <n v="35"/>
    <n v="25"/>
    <n v="43.4"/>
    <n v="22.4"/>
    <n v="34.4"/>
    <n v="19.8"/>
    <n v="40.299999999999997"/>
    <n v="44.9"/>
    <n v="46.1"/>
    <n v="159"/>
    <x v="1"/>
    <s v="1 to 5"/>
    <s v="0 to 3 hours"/>
    <x v="0"/>
    <x v="1"/>
    <x v="1"/>
    <n v="1.4E-2"/>
  </r>
  <r>
    <n v="15"/>
    <n v="19"/>
    <n v="27"/>
    <n v="30"/>
    <n v="28"/>
    <n v="31"/>
    <n v="31"/>
    <n v="23"/>
    <n v="31"/>
    <n v="31"/>
    <n v="32"/>
    <n v="32"/>
    <n v="35"/>
    <n v="36"/>
    <n v="26"/>
    <n v="34"/>
    <n v="35"/>
    <n v="37"/>
    <n v="43"/>
    <n v="43"/>
    <n v="43"/>
    <s v="A125"/>
    <n v="49.77"/>
    <n v="19"/>
    <n v="97.1"/>
    <n v="56"/>
    <n v="34"/>
    <n v="25"/>
    <n v="1957"/>
    <n v="26.8"/>
    <n v="32.700000000000003"/>
    <n v="18.100000000000001"/>
    <n v="44.3"/>
    <n v="24.4"/>
    <n v="30.8"/>
    <n v="22.9"/>
    <n v="31.7"/>
    <n v="34"/>
    <n v="41.9"/>
    <n v="49.05"/>
    <n v="43.35"/>
    <n v="169"/>
    <x v="0"/>
    <s v="1 to 5"/>
    <s v="0 to 3 hours"/>
    <x v="1"/>
    <x v="1"/>
    <x v="0"/>
    <n v="5.5E-2"/>
  </r>
  <r>
    <n v="11"/>
    <n v="17"/>
    <n v="16"/>
    <n v="23"/>
    <n v="25"/>
    <n v="29"/>
    <n v="27"/>
    <n v="26"/>
    <n v="29"/>
    <n v="29"/>
    <n v="26"/>
    <n v="25"/>
    <n v="27"/>
    <n v="25"/>
    <n v="23"/>
    <n v="24"/>
    <n v="26"/>
    <n v="27"/>
    <n v="27"/>
    <n v="33"/>
    <n v="31"/>
    <s v="A126"/>
    <n v="24.62"/>
    <n v="18"/>
    <n v="83"/>
    <n v="58"/>
    <n v="37.6"/>
    <n v="10"/>
    <n v="1590"/>
    <n v="23.9"/>
    <n v="20.3"/>
    <n v="16.3"/>
    <n v="37.700000000000003"/>
    <n v="33.5"/>
    <n v="49.1"/>
    <n v="29.7"/>
    <n v="43.7"/>
    <n v="28.1"/>
    <n v="44.35"/>
    <n v="49.4"/>
    <n v="45.9"/>
    <n v="172"/>
    <x v="1"/>
    <s v="1 to 5"/>
    <s v="6 to 9 hours"/>
    <x v="1"/>
    <x v="1"/>
    <x v="0"/>
    <n v="0.03"/>
  </r>
  <r>
    <n v="10"/>
    <n v="10"/>
    <n v="10"/>
    <n v="11"/>
    <n v="11"/>
    <n v="13"/>
    <n v="13"/>
    <n v="10"/>
    <n v="10"/>
    <n v="10"/>
    <n v="14"/>
    <n v="14"/>
    <n v="14"/>
    <n v="15"/>
    <n v="10"/>
    <n v="12"/>
    <n v="13"/>
    <n v="16"/>
    <n v="17"/>
    <n v="18"/>
    <n v="18"/>
    <s v="A127"/>
    <n v="7.3"/>
    <n v="17"/>
    <n v="56.7"/>
    <n v="60"/>
    <n v="30.5"/>
    <n v="3.5"/>
    <n v="1218"/>
    <n v="25.3"/>
    <n v="27.6"/>
    <n v="19.3"/>
    <n v="38.700000000000003"/>
    <n v="25"/>
    <n v="40.6"/>
    <n v="21.6"/>
    <n v="33.4"/>
    <n v="21.3"/>
    <n v="41.4"/>
    <n v="46.55"/>
    <n v="43.9"/>
    <n v="163"/>
    <x v="1"/>
    <s v="1 to 5"/>
    <s v="3 to 6 hours"/>
    <x v="0"/>
    <x v="1"/>
    <x v="1"/>
    <n v="1.9E-2"/>
  </r>
  <r>
    <n v="10"/>
    <n v="14"/>
    <n v="12"/>
    <n v="12"/>
    <n v="13"/>
    <n v="13"/>
    <n v="13"/>
    <n v="11"/>
    <n v="11"/>
    <n v="13"/>
    <n v="13"/>
    <n v="13"/>
    <n v="13"/>
    <n v="13"/>
    <n v="11"/>
    <n v="13"/>
    <n v="17"/>
    <n v="17"/>
    <n v="19"/>
    <n v="19"/>
    <n v="19"/>
    <s v="A128"/>
    <n v="7.23"/>
    <n v="24"/>
    <n v="52.1"/>
    <n v="68"/>
    <n v="33.9"/>
    <n v="4"/>
    <n v="1130"/>
    <n v="23"/>
    <n v="25.9"/>
    <n v="17.399999999999999"/>
    <n v="34.700000000000003"/>
    <n v="25.8"/>
    <n v="44.4"/>
    <n v="23.3"/>
    <n v="34.9"/>
    <n v="20.100000000000001"/>
    <n v="37.9"/>
    <n v="45.4"/>
    <n v="43.35"/>
    <n v="161"/>
    <x v="1"/>
    <s v="1 to 5"/>
    <s v="3 to 6 hours"/>
    <x v="0"/>
    <x v="1"/>
    <x v="1"/>
    <n v="1.7999999999999999E-2"/>
  </r>
  <r>
    <n v="10"/>
    <n v="10"/>
    <n v="10"/>
    <n v="10"/>
    <n v="10"/>
    <n v="10"/>
    <n v="10"/>
    <n v="10"/>
    <n v="10"/>
    <n v="10"/>
    <n v="10"/>
    <n v="11"/>
    <n v="11"/>
    <n v="11"/>
    <n v="11"/>
    <n v="13"/>
    <n v="13"/>
    <n v="11"/>
    <n v="11"/>
    <n v="11"/>
    <n v="13"/>
    <s v="A129"/>
    <n v="1.04"/>
    <n v="20"/>
    <n v="48.1"/>
    <n v="60"/>
    <n v="30.8"/>
    <n v="3.5"/>
    <n v="1079"/>
    <n v="23.9"/>
    <n v="27.8"/>
    <n v="18.600000000000001"/>
    <n v="35.6"/>
    <n v="24.2"/>
    <n v="41"/>
    <n v="21.2"/>
    <n v="32.799999999999997"/>
    <n v="20"/>
    <n v="38.200000000000003"/>
    <n v="45.75"/>
    <n v="40.75"/>
    <n v="155"/>
    <x v="1"/>
    <n v="0"/>
    <s v="3 to 6 hours"/>
    <x v="0"/>
    <x v="1"/>
    <x v="1"/>
    <n v="7.0000000000000001E-3"/>
  </r>
  <r>
    <n v="10"/>
    <n v="10"/>
    <n v="10"/>
    <n v="10"/>
    <n v="10"/>
    <n v="10"/>
    <n v="10"/>
    <n v="10"/>
    <n v="10"/>
    <n v="10"/>
    <n v="10"/>
    <n v="10"/>
    <n v="10"/>
    <n v="10"/>
    <n v="10"/>
    <n v="10"/>
    <n v="10"/>
    <n v="10"/>
    <n v="10"/>
    <n v="10"/>
    <n v="10"/>
    <s v="A130"/>
    <n v="0"/>
    <n v="12"/>
    <n v="67.2"/>
    <n v="60"/>
    <n v="27.2"/>
    <n v="8.5"/>
    <n v="1530"/>
    <n v="29.2"/>
    <n v="35.799999999999997"/>
    <n v="21.9"/>
    <n v="46.7"/>
    <n v="18.3"/>
    <n v="24.6"/>
    <n v="16.100000000000001"/>
    <n v="24.9"/>
    <n v="22.2"/>
    <n v="35.6"/>
    <n v="46.65"/>
    <n v="49"/>
    <n v="174"/>
    <x v="0"/>
    <s v="More than 15"/>
    <s v="3 to 6 hours"/>
    <x v="0"/>
    <x v="1"/>
    <x v="0"/>
    <n v="0"/>
  </r>
  <r>
    <n v="10"/>
    <n v="10"/>
    <n v="10"/>
    <n v="10"/>
    <n v="10"/>
    <n v="10"/>
    <n v="10"/>
    <n v="10"/>
    <n v="10"/>
    <n v="10"/>
    <n v="10"/>
    <n v="10"/>
    <n v="10"/>
    <n v="10"/>
    <n v="10"/>
    <n v="10"/>
    <n v="10"/>
    <n v="10"/>
    <n v="12"/>
    <n v="12"/>
    <n v="12"/>
    <s v="A131"/>
    <n v="0.49"/>
    <n v="24"/>
    <n v="40"/>
    <n v="64"/>
    <n v="30.6"/>
    <n v="0.5"/>
    <n v="956"/>
    <n v="23.8"/>
    <n v="29.5"/>
    <n v="19.100000000000001"/>
    <n v="33.4"/>
    <n v="20.7"/>
    <n v="40.5"/>
    <n v="18.8"/>
    <n v="28.9"/>
    <n v="15.2"/>
    <n v="35"/>
    <n v="41.8"/>
    <n v="45.1"/>
    <n v="162"/>
    <x v="1"/>
    <s v="1 to 5"/>
    <s v="3 to 6 hours"/>
    <x v="0"/>
    <x v="1"/>
    <x v="1"/>
    <n v="4.0000000000000001E-3"/>
  </r>
  <r>
    <n v="10"/>
    <n v="10"/>
    <n v="10"/>
    <n v="10"/>
    <n v="10"/>
    <n v="10"/>
    <n v="10"/>
    <n v="10"/>
    <n v="10"/>
    <n v="10"/>
    <n v="10"/>
    <n v="10"/>
    <n v="10"/>
    <n v="10"/>
    <n v="10"/>
    <n v="10"/>
    <n v="10"/>
    <n v="10"/>
    <n v="10"/>
    <n v="10"/>
    <n v="23"/>
    <s v="A132"/>
    <n v="7.66"/>
    <n v="26"/>
    <n v="63.1"/>
    <n v="65"/>
    <n v="36.9"/>
    <n v="7"/>
    <n v="1286"/>
    <n v="22.6"/>
    <n v="23.1"/>
    <n v="16.5"/>
    <n v="35"/>
    <n v="29.9"/>
    <n v="48.4"/>
    <n v="27.1"/>
    <n v="40.5"/>
    <n v="23.7"/>
    <n v="41.95"/>
    <n v="48.4"/>
    <n v="42.25"/>
    <n v="163"/>
    <x v="1"/>
    <s v="1 to 5"/>
    <s v="0 to 3 hours"/>
    <x v="0"/>
    <x v="1"/>
    <x v="1"/>
    <n v="0.01"/>
  </r>
  <r>
    <n v="10"/>
    <n v="10"/>
    <n v="11"/>
    <n v="10"/>
    <n v="10"/>
    <n v="14"/>
    <n v="16"/>
    <n v="12"/>
    <n v="12"/>
    <n v="12"/>
    <n v="14"/>
    <n v="20"/>
    <n v="18"/>
    <n v="18"/>
    <n v="14"/>
    <n v="16"/>
    <n v="18"/>
    <n v="18"/>
    <n v="20"/>
    <n v="20"/>
    <n v="20"/>
    <s v="A133"/>
    <n v="13.51"/>
    <n v="32"/>
    <n v="74.8"/>
    <n v="53"/>
    <n v="23.1"/>
    <n v="11"/>
    <n v="1677"/>
    <n v="31.6"/>
    <n v="36.200000000000003"/>
    <n v="24.9"/>
    <n v="48.9"/>
    <n v="16.2"/>
    <n v="20.5"/>
    <n v="14.5"/>
    <n v="20.5"/>
    <n v="24.7"/>
    <n v="38.35"/>
    <n v="46.4"/>
    <n v="48.85"/>
    <n v="174"/>
    <x v="0"/>
    <s v="1 to 5"/>
    <s v="6 to 9 hours"/>
    <x v="0"/>
    <x v="1"/>
    <x v="0"/>
    <n v="0.03"/>
  </r>
  <r>
    <n v="10"/>
    <n v="10"/>
    <n v="10"/>
    <n v="10"/>
    <n v="11"/>
    <n v="14"/>
    <n v="15"/>
    <n v="10"/>
    <n v="10"/>
    <n v="10"/>
    <n v="10"/>
    <n v="10"/>
    <n v="10"/>
    <n v="15"/>
    <n v="10"/>
    <n v="10"/>
    <n v="10"/>
    <n v="10"/>
    <n v="15"/>
    <n v="15"/>
    <n v="21"/>
    <s v="A134"/>
    <n v="8.39"/>
    <n v="28"/>
    <n v="46.2"/>
    <n v="58"/>
    <n v="31.6"/>
    <n v="3.5"/>
    <n v="1046"/>
    <n v="23.2"/>
    <n v="27.4"/>
    <n v="18.100000000000001"/>
    <n v="35.1"/>
    <n v="24.6"/>
    <n v="42"/>
    <n v="21.7"/>
    <n v="33.5"/>
    <n v="20"/>
    <n v="39.25"/>
    <n v="41.3"/>
    <n v="41.1"/>
    <n v="152.5"/>
    <x v="1"/>
    <s v="1 to 5"/>
    <s v="3 to 6 hours"/>
    <x v="0"/>
    <x v="1"/>
    <x v="1"/>
    <n v="1.2E-2"/>
  </r>
  <r>
    <n v="10"/>
    <n v="10"/>
    <n v="10"/>
    <n v="12"/>
    <n v="14"/>
    <n v="14"/>
    <n v="14"/>
    <n v="10"/>
    <n v="10"/>
    <n v="11"/>
    <n v="11"/>
    <n v="11"/>
    <n v="11"/>
    <n v="11"/>
    <n v="11"/>
    <n v="11"/>
    <n v="11"/>
    <n v="12"/>
    <n v="12"/>
    <n v="12"/>
    <n v="12"/>
    <s v="A135"/>
    <n v="1.58"/>
    <n v="32"/>
    <n v="54.3"/>
    <n v="47"/>
    <n v="28.9"/>
    <n v="3.5"/>
    <n v="1187"/>
    <n v="25.9"/>
    <n v="28.8"/>
    <n v="20.399999999999999"/>
    <n v="38.299999999999997"/>
    <n v="24.1"/>
    <n v="39.5"/>
    <n v="20.399999999999999"/>
    <n v="33.5"/>
    <n v="21.2"/>
    <n v="39.549999999999997"/>
    <n v="46.95"/>
    <n v="44.55"/>
    <n v="160"/>
    <x v="1"/>
    <s v="6 to 15"/>
    <s v="6 to 9 hours"/>
    <x v="0"/>
    <x v="0"/>
    <x v="1"/>
    <n v="1E-3"/>
  </r>
  <r>
    <n v="12"/>
    <n v="16"/>
    <n v="14"/>
    <n v="14"/>
    <n v="16"/>
    <n v="18"/>
    <n v="20"/>
    <n v="10"/>
    <n v="12"/>
    <n v="14"/>
    <n v="20"/>
    <n v="26"/>
    <n v="22"/>
    <n v="26"/>
    <n v="14"/>
    <n v="16"/>
    <n v="22"/>
    <n v="24"/>
    <n v="26"/>
    <n v="24"/>
    <n v="30"/>
    <s v="A136"/>
    <n v="30.69"/>
    <n v="26"/>
    <n v="56"/>
    <n v="57"/>
    <n v="31.3"/>
    <n v="5"/>
    <n v="1203"/>
    <n v="24.8"/>
    <n v="27.2"/>
    <n v="18.899999999999999"/>
    <n v="37.200000000000003"/>
    <n v="25.8"/>
    <n v="41.7"/>
    <n v="22.4"/>
    <n v="34.700000000000003"/>
    <n v="21.9"/>
    <n v="41.1"/>
    <n v="43.8"/>
    <n v="45.35"/>
    <n v="160"/>
    <x v="1"/>
    <s v="More than 15"/>
    <s v="0 to 3 hours"/>
    <x v="0"/>
    <x v="1"/>
    <x v="1"/>
    <n v="3.6999999999999998E-2"/>
  </r>
  <r>
    <n v="10"/>
    <n v="10"/>
    <n v="16"/>
    <n v="18"/>
    <n v="12"/>
    <n v="15"/>
    <n v="11"/>
    <n v="10"/>
    <n v="11"/>
    <n v="10"/>
    <n v="11"/>
    <n v="12"/>
    <n v="12"/>
    <n v="12"/>
    <n v="12"/>
    <n v="12"/>
    <n v="13"/>
    <n v="12"/>
    <n v="12"/>
    <n v="12"/>
    <n v="12"/>
    <s v="A137"/>
    <n v="3.84"/>
    <n v="20"/>
    <n v="85.4"/>
    <n v="63"/>
    <n v="30.9"/>
    <n v="22"/>
    <n v="1792"/>
    <n v="27.4"/>
    <n v="32.6"/>
    <n v="19.5"/>
    <n v="44.9"/>
    <n v="22"/>
    <n v="26.8"/>
    <n v="20.399999999999999"/>
    <n v="27.6"/>
    <n v="31"/>
    <n v="39.299999999999997"/>
    <n v="46.25"/>
    <n v="46.65"/>
    <n v="166"/>
    <x v="0"/>
    <s v="1 to 5"/>
    <s v="3 to 6 hours"/>
    <x v="1"/>
    <x v="1"/>
    <x v="1"/>
    <n v="-2E-3"/>
  </r>
  <r>
    <n v="10"/>
    <n v="10"/>
    <n v="10"/>
    <n v="15"/>
    <n v="18"/>
    <n v="14"/>
    <n v="13"/>
    <n v="12"/>
    <n v="10"/>
    <n v="12"/>
    <n v="12"/>
    <n v="13"/>
    <n v="14"/>
    <n v="16"/>
    <n v="13"/>
    <n v="10"/>
    <n v="12"/>
    <n v="15"/>
    <n v="15"/>
    <n v="14"/>
    <n v="15"/>
    <s v="A138"/>
    <n v="4.8600000000000003"/>
    <n v="22"/>
    <n v="66.5"/>
    <n v="51"/>
    <n v="34.1"/>
    <n v="6"/>
    <n v="1354"/>
    <n v="24.4"/>
    <n v="24.5"/>
    <n v="18.2"/>
    <n v="37"/>
    <n v="28.7"/>
    <n v="45.8"/>
    <n v="25.3"/>
    <n v="39.5"/>
    <n v="23.8"/>
    <n v="41.15"/>
    <n v="49.95"/>
    <n v="45.35"/>
    <n v="167"/>
    <x v="1"/>
    <s v="1 to 5"/>
    <s v="6 to 9 hours"/>
    <x v="0"/>
    <x v="0"/>
    <x v="0"/>
    <n v="7.0000000000000001E-3"/>
  </r>
  <r>
    <n v="10"/>
    <n v="10"/>
    <n v="10"/>
    <n v="10"/>
    <n v="10"/>
    <n v="10"/>
    <n v="10"/>
    <n v="10"/>
    <n v="10"/>
    <n v="10"/>
    <n v="10"/>
    <n v="10"/>
    <n v="12"/>
    <n v="15"/>
    <n v="15"/>
    <n v="15"/>
    <n v="15"/>
    <n v="15"/>
    <n v="17"/>
    <n v="17"/>
    <n v="17"/>
    <s v="A139"/>
    <n v="7.92"/>
    <n v="18"/>
    <n v="46.6"/>
    <n v="65"/>
    <n v="38.299999999999997"/>
    <n v="8"/>
    <n v="1024"/>
    <n v="19.399999999999999"/>
    <n v="22.8"/>
    <n v="14.1"/>
    <n v="31.2"/>
    <n v="30.4"/>
    <n v="49.3"/>
    <n v="27.9"/>
    <n v="40.200000000000003"/>
    <n v="23.4"/>
    <n v="36.6"/>
    <n v="41.2"/>
    <n v="37.9"/>
    <n v="141"/>
    <x v="1"/>
    <s v="1 to 5"/>
    <s v="0 to 3 hours"/>
    <x v="0"/>
    <x v="1"/>
    <x v="1"/>
    <n v="2.3E-2"/>
  </r>
  <r>
    <n v="10"/>
    <n v="10"/>
    <n v="10"/>
    <n v="10"/>
    <n v="11"/>
    <n v="10"/>
    <n v="10"/>
    <n v="10"/>
    <n v="10"/>
    <n v="10"/>
    <n v="10"/>
    <n v="10"/>
    <n v="11"/>
    <n v="11"/>
    <n v="10"/>
    <n v="11"/>
    <n v="11"/>
    <n v="12"/>
    <n v="12"/>
    <n v="12"/>
    <n v="12"/>
    <s v="A140"/>
    <n v="0.62"/>
    <n v="21"/>
    <n v="51.1"/>
    <n v="50"/>
    <n v="25.5"/>
    <n v="1.5"/>
    <n v="1151"/>
    <n v="27.3"/>
    <n v="31.2"/>
    <n v="22"/>
    <n v="38.9"/>
    <n v="20.2"/>
    <n v="36"/>
    <n v="16.7"/>
    <n v="29.4"/>
    <n v="18.100000000000001"/>
    <n v="36.450000000000003"/>
    <n v="46.9"/>
    <n v="45.8"/>
    <n v="168"/>
    <x v="1"/>
    <s v="1 to 5"/>
    <s v="3 to 6 hours"/>
    <x v="0"/>
    <x v="0"/>
    <x v="0"/>
    <n v="6.0000000000000001E-3"/>
  </r>
  <r>
    <n v="10"/>
    <n v="10"/>
    <n v="10"/>
    <n v="10"/>
    <n v="11"/>
    <n v="11"/>
    <n v="11"/>
    <n v="11"/>
    <n v="11"/>
    <n v="12"/>
    <n v="12"/>
    <n v="13"/>
    <n v="13"/>
    <n v="13"/>
    <n v="12"/>
    <n v="12"/>
    <n v="12"/>
    <n v="12"/>
    <n v="14"/>
    <n v="20"/>
    <n v="24"/>
    <s v="A141"/>
    <n v="10.91"/>
    <n v="24"/>
    <n v="57.3"/>
    <n v="49"/>
    <n v="33.9"/>
    <n v="4.5"/>
    <n v="1212"/>
    <n v="23.9"/>
    <n v="25.8"/>
    <n v="18.5"/>
    <n v="35.5"/>
    <n v="26.9"/>
    <n v="45.9"/>
    <n v="24.1"/>
    <n v="38.5"/>
    <n v="21.6"/>
    <n v="40.700000000000003"/>
    <n v="47.85"/>
    <n v="42.05"/>
    <n v="163"/>
    <x v="1"/>
    <n v="0"/>
    <s v="0 to 3 hours"/>
    <x v="0"/>
    <x v="0"/>
    <x v="1"/>
    <n v="2.1999999999999999E-2"/>
  </r>
  <r>
    <n v="10"/>
    <n v="11"/>
    <n v="15"/>
    <n v="15"/>
    <n v="18"/>
    <n v="16"/>
    <n v="16"/>
    <n v="11"/>
    <n v="15"/>
    <n v="15"/>
    <n v="17"/>
    <n v="21"/>
    <n v="21"/>
    <n v="23"/>
    <n v="17"/>
    <n v="23"/>
    <n v="23"/>
    <n v="23"/>
    <n v="25"/>
    <n v="29"/>
    <n v="31"/>
    <s v="A142"/>
    <n v="31.01"/>
    <n v="22"/>
    <n v="57.8"/>
    <n v="46"/>
    <n v="30.5"/>
    <n v="3"/>
    <n v="1237"/>
    <n v="25.6"/>
    <n v="27.8"/>
    <n v="20.100000000000001"/>
    <n v="37.700000000000003"/>
    <n v="24.6"/>
    <n v="41.9"/>
    <n v="21.3"/>
    <n v="35.4"/>
    <n v="20.7"/>
    <n v="39.1"/>
    <n v="47"/>
    <n v="42.6"/>
    <n v="167"/>
    <x v="1"/>
    <s v="1 to 5"/>
    <s v="3 to 6 hours"/>
    <x v="0"/>
    <x v="0"/>
    <x v="0"/>
    <n v="4.5999999999999999E-2"/>
  </r>
  <r>
    <n v="10"/>
    <n v="10"/>
    <n v="14"/>
    <n v="16"/>
    <n v="20"/>
    <n v="25"/>
    <n v="29"/>
    <n v="12"/>
    <n v="14"/>
    <n v="28"/>
    <n v="29"/>
    <n v="39"/>
    <n v="39"/>
    <n v="39"/>
    <n v="10"/>
    <n v="29"/>
    <n v="39"/>
    <n v="39"/>
    <n v="39"/>
    <n v="39"/>
    <n v="39"/>
    <s v="A143"/>
    <n v="131.66999999999999"/>
    <n v="23"/>
    <n v="41.7"/>
    <n v="51"/>
    <n v="29"/>
    <n v="2.5"/>
    <n v="985"/>
    <n v="23.9"/>
    <n v="29.2"/>
    <n v="19.100000000000001"/>
    <n v="34.200000000000003"/>
    <n v="22.2"/>
    <n v="39.299999999999997"/>
    <n v="19.2"/>
    <n v="31.2"/>
    <n v="18.5"/>
    <n v="34.200000000000003"/>
    <n v="41.4"/>
    <n v="41.3"/>
    <n v="150"/>
    <x v="1"/>
    <s v="1 to 5"/>
    <s v="0 to 3 hours"/>
    <x v="0"/>
    <x v="0"/>
    <x v="1"/>
    <n v="8.2000000000000003E-2"/>
  </r>
  <r>
    <n v="10"/>
    <n v="10"/>
    <n v="10"/>
    <n v="10"/>
    <n v="10"/>
    <n v="14"/>
    <n v="14"/>
    <n v="10"/>
    <n v="14"/>
    <n v="14"/>
    <n v="14"/>
    <n v="14"/>
    <n v="14"/>
    <n v="16"/>
    <n v="14"/>
    <n v="16"/>
    <n v="18"/>
    <n v="18"/>
    <n v="19"/>
    <n v="18"/>
    <n v="19"/>
    <s v="A144"/>
    <n v="9.61"/>
    <s v="16-21"/>
    <n v="59.4"/>
    <n v="68"/>
    <n v="19.3"/>
    <n v="3"/>
    <n v="1438"/>
    <n v="31.9"/>
    <n v="38"/>
    <n v="26.2"/>
    <n v="49.2"/>
    <n v="12.7"/>
    <n v="16.899999999999999"/>
    <n v="10.7"/>
    <n v="16.600000000000001"/>
    <n v="18.3"/>
    <n v="39.200000000000003"/>
    <n v="47.7"/>
    <n v="49.95"/>
    <n v="180"/>
    <x v="0"/>
    <s v="1 to 5"/>
    <s v="3 to 6 hours"/>
    <x v="0"/>
    <x v="1"/>
    <x v="0"/>
    <n v="2.5999999999999999E-2"/>
  </r>
  <r>
    <n v="10"/>
    <n v="12"/>
    <n v="12"/>
    <n v="11"/>
    <n v="11"/>
    <n v="11"/>
    <n v="11"/>
    <n v="10"/>
    <n v="10"/>
    <n v="10"/>
    <n v="10"/>
    <n v="11"/>
    <n v="11"/>
    <n v="12"/>
    <n v="10"/>
    <n v="10"/>
    <n v="10"/>
    <n v="11"/>
    <n v="11"/>
    <n v="11"/>
    <n v="13"/>
    <s v="A145"/>
    <n v="0.69"/>
    <n v="32"/>
    <n v="46.2"/>
    <n v="63"/>
    <n v="27.4"/>
    <n v="2.5"/>
    <n v="1062"/>
    <n v="25.2"/>
    <n v="29.8"/>
    <n v="19.8"/>
    <n v="36.9"/>
    <n v="21.6"/>
    <n v="36.9"/>
    <n v="18.2"/>
    <n v="29.1"/>
    <n v="18.7"/>
    <n v="38"/>
    <n v="44.8"/>
    <n v="42.5"/>
    <n v="157"/>
    <x v="1"/>
    <s v="1 to 5"/>
    <s v="0 to 3 hours"/>
    <x v="0"/>
    <x v="1"/>
    <x v="1"/>
    <n v="1E-3"/>
  </r>
  <r>
    <n v="12"/>
    <n v="12"/>
    <n v="12"/>
    <n v="10"/>
    <n v="10"/>
    <n v="12"/>
    <n v="12"/>
    <n v="10"/>
    <n v="12"/>
    <n v="10"/>
    <n v="11"/>
    <n v="13"/>
    <n v="11"/>
    <n v="11"/>
    <n v="11"/>
    <n v="11"/>
    <n v="11"/>
    <n v="11"/>
    <n v="11"/>
    <n v="11"/>
    <n v="11"/>
    <s v="A146"/>
    <n v="0.63"/>
    <s v="32-37"/>
    <n v="104"/>
    <n v="41"/>
    <n v="31.9"/>
    <n v="19"/>
    <n v="2093"/>
    <n v="29.1"/>
    <n v="33.9"/>
    <n v="20.5"/>
    <n v="46.6"/>
    <n v="22.8"/>
    <n v="29.5"/>
    <n v="21.2"/>
    <n v="30.1"/>
    <n v="32.1"/>
    <n v="43.7"/>
    <n v="50.65"/>
    <n v="48.5"/>
    <n v="180"/>
    <x v="0"/>
    <s v="6 to 15"/>
    <s v="3 to 6 hours"/>
    <x v="1"/>
    <x v="0"/>
    <x v="0"/>
    <n v="-1E-3"/>
  </r>
  <r>
    <n v="10"/>
    <n v="10"/>
    <n v="10"/>
    <n v="14"/>
    <n v="13"/>
    <n v="11"/>
    <n v="11"/>
    <n v="10"/>
    <n v="12"/>
    <n v="15"/>
    <n v="18"/>
    <n v="17"/>
    <n v="19"/>
    <n v="24"/>
    <n v="14"/>
    <n v="27"/>
    <n v="24"/>
    <n v="25"/>
    <n v="26"/>
    <n v="18"/>
    <n v="18"/>
    <s v="A147"/>
    <n v="32.15"/>
    <s v="31-37"/>
    <n v="77.2"/>
    <n v="51"/>
    <n v="23.6"/>
    <n v="12"/>
    <n v="1715"/>
    <n v="31.6"/>
    <n v="36.299999999999997"/>
    <n v="24.8"/>
    <n v="48.9"/>
    <n v="16.600000000000001"/>
    <n v="20.8"/>
    <n v="15"/>
    <n v="20.9"/>
    <n v="25.8"/>
    <n v="39.75"/>
    <n v="46.75"/>
    <n v="46.1"/>
    <n v="173"/>
    <x v="0"/>
    <s v="1 to 5"/>
    <s v="3 to 6 hours"/>
    <x v="1"/>
    <x v="0"/>
    <x v="0"/>
    <n v="4.1000000000000002E-2"/>
  </r>
  <r>
    <n v="59"/>
    <n v="42"/>
    <n v="42"/>
    <n v="42"/>
    <n v="41"/>
    <n v="40"/>
    <n v="40"/>
    <n v="41"/>
    <n v="40"/>
    <n v="41"/>
    <n v="41"/>
    <n v="40"/>
    <n v="41"/>
    <n v="42"/>
    <n v="40"/>
    <n v="41"/>
    <n v="43"/>
    <n v="43"/>
    <n v="44"/>
    <n v="45"/>
    <n v="45"/>
    <s v="A148"/>
    <n v="15.87"/>
    <s v="23-26"/>
    <n v="54.7"/>
    <n v="51"/>
    <n v="28.7"/>
    <n v="4.5"/>
    <n v="1195"/>
    <n v="26"/>
    <n v="28.9"/>
    <n v="20.2"/>
    <n v="38.5"/>
    <n v="24.4"/>
    <n v="38.9"/>
    <n v="20.5"/>
    <n v="32.799999999999997"/>
    <n v="21.6"/>
    <n v="37.25"/>
    <n v="43.3"/>
    <n v="41.9"/>
    <n v="159"/>
    <x v="1"/>
    <s v="1 to 5"/>
    <s v="3 to 6 hours"/>
    <x v="0"/>
    <x v="0"/>
    <x v="1"/>
    <n v="-5.0000000000000001E-3"/>
  </r>
  <r>
    <n v="10"/>
    <n v="10"/>
    <n v="10"/>
    <n v="14"/>
    <n v="14"/>
    <n v="15"/>
    <n v="15"/>
    <n v="14"/>
    <n v="10"/>
    <n v="15"/>
    <n v="15"/>
    <n v="17"/>
    <n v="17"/>
    <n v="17"/>
    <n v="10"/>
    <n v="16"/>
    <n v="19"/>
    <n v="20"/>
    <n v="20"/>
    <n v="20"/>
    <n v="20"/>
    <s v="A149"/>
    <n v="12.22"/>
    <n v="16"/>
    <n v="68.599999999999994"/>
    <n v="68"/>
    <n v="31.4"/>
    <n v="13.5"/>
    <n v="1522"/>
    <n v="26.2"/>
    <n v="33.6"/>
    <n v="18.399999999999999"/>
    <n v="43.7"/>
    <n v="21.4"/>
    <n v="28"/>
    <n v="19.100000000000001"/>
    <n v="28.7"/>
    <n v="24.9"/>
    <n v="38.25"/>
    <n v="46.85"/>
    <n v="46.55"/>
    <n v="166"/>
    <x v="0"/>
    <s v="1 to 5"/>
    <s v="0 to 3 hours"/>
    <x v="0"/>
    <x v="1"/>
    <x v="1"/>
    <n v="2.5999999999999999E-2"/>
  </r>
  <r>
    <n v="36"/>
    <n v="36"/>
    <n v="36"/>
    <n v="35"/>
    <n v="39"/>
    <n v="41"/>
    <n v="42"/>
    <n v="33"/>
    <n v="33"/>
    <n v="36"/>
    <n v="32"/>
    <n v="34"/>
    <n v="34"/>
    <n v="35"/>
    <n v="32"/>
    <n v="32"/>
    <n v="32"/>
    <n v="33"/>
    <n v="33"/>
    <n v="33"/>
    <n v="35"/>
    <s v="A150"/>
    <n v="7.74"/>
    <s v="27-30"/>
    <n v="66.599999999999994"/>
    <n v="45"/>
    <n v="32.5"/>
    <n v="5"/>
    <n v="1365"/>
    <n v="25.3"/>
    <n v="25.5"/>
    <n v="19.2"/>
    <n v="37.700000000000003"/>
    <n v="27.3"/>
    <n v="44.2"/>
    <n v="23.8"/>
    <n v="38.299999999999997"/>
    <n v="23"/>
    <n v="40.35"/>
    <n v="50.55"/>
    <n v="45.6"/>
    <n v="170"/>
    <x v="1"/>
    <s v="1 to 5"/>
    <s v="6 to 9 hours"/>
    <x v="0"/>
    <x v="0"/>
    <x v="0"/>
    <n v="-1.2999999999999999E-2"/>
  </r>
  <r>
    <n v="10"/>
    <n v="10"/>
    <n v="10"/>
    <n v="10"/>
    <n v="11"/>
    <n v="10"/>
    <n v="10"/>
    <n v="10"/>
    <n v="10"/>
    <n v="10"/>
    <n v="10"/>
    <n v="11"/>
    <n v="11"/>
    <n v="11"/>
    <n v="10"/>
    <n v="10"/>
    <n v="10"/>
    <n v="11"/>
    <n v="11"/>
    <n v="13"/>
    <n v="13"/>
    <s v="A151"/>
    <n v="0.82"/>
    <n v="20"/>
    <n v="77.5"/>
    <n v="46"/>
    <n v="39.1"/>
    <n v="13.5"/>
    <n v="1493"/>
    <n v="22.4"/>
    <n v="19.8"/>
    <n v="15.7"/>
    <n v="36.4"/>
    <n v="36.4"/>
    <n v="51.7"/>
    <n v="32.1"/>
    <n v="48.5"/>
    <n v="31"/>
    <n v="44.7"/>
    <n v="48.85"/>
    <n v="42.95"/>
    <n v="158"/>
    <x v="1"/>
    <s v="1 to 5"/>
    <s v="6 to 9 hours"/>
    <x v="1"/>
    <x v="0"/>
    <x v="1"/>
    <n v="5.0000000000000001E-3"/>
  </r>
  <r>
    <n v="10"/>
    <n v="10"/>
    <n v="10"/>
    <n v="10"/>
    <n v="10"/>
    <n v="10"/>
    <n v="10"/>
    <n v="10"/>
    <n v="10"/>
    <n v="10"/>
    <n v="10"/>
    <n v="10"/>
    <n v="14"/>
    <n v="12"/>
    <n v="10"/>
    <n v="12"/>
    <n v="12"/>
    <n v="12"/>
    <n v="14"/>
    <n v="14"/>
    <n v="12"/>
    <s v="A152"/>
    <n v="2.14"/>
    <n v="29"/>
    <n v="54.2"/>
    <n v="48"/>
    <n v="25"/>
    <n v="3"/>
    <n v="1204"/>
    <n v="28"/>
    <n v="31.3"/>
    <n v="22.2"/>
    <n v="40.299999999999997"/>
    <n v="21.5"/>
    <n v="34.9"/>
    <n v="17.3"/>
    <n v="29.6"/>
    <n v="20.2"/>
    <n v="39.1"/>
    <n v="48"/>
    <n v="44.3"/>
    <n v="164"/>
    <x v="1"/>
    <s v="1 to 5"/>
    <s v="0 to 3 hours"/>
    <x v="0"/>
    <x v="0"/>
    <x v="1"/>
    <n v="0.01"/>
  </r>
  <r>
    <n v="10"/>
    <n v="14"/>
    <n v="14"/>
    <n v="14"/>
    <n v="16"/>
    <n v="16"/>
    <n v="22"/>
    <n v="16"/>
    <n v="19"/>
    <n v="23"/>
    <n v="26"/>
    <n v="29"/>
    <n v="28"/>
    <n v="25"/>
    <n v="26"/>
    <n v="19"/>
    <n v="27"/>
    <n v="28"/>
    <n v="27"/>
    <n v="27"/>
    <n v="28"/>
    <s v="A153"/>
    <n v="34.9"/>
    <n v="25"/>
    <n v="50.9"/>
    <n v="64"/>
    <n v="32.799999999999997"/>
    <n v="5.5"/>
    <n v="1114"/>
    <n v="23"/>
    <n v="26.2"/>
    <n v="17.399999999999999"/>
    <n v="35.799999999999997"/>
    <n v="26.9"/>
    <n v="42.8"/>
    <n v="23.6"/>
    <n v="35.1"/>
    <n v="22.3"/>
    <n v="37.25"/>
    <n v="43.75"/>
    <n v="42.35"/>
    <n v="151"/>
    <x v="1"/>
    <s v="1 to 5"/>
    <s v="0 to 3 hours"/>
    <x v="0"/>
    <x v="1"/>
    <x v="1"/>
    <n v="4.7E-2"/>
  </r>
  <r>
    <n v="10"/>
    <n v="10"/>
    <n v="11"/>
    <n v="10"/>
    <n v="10"/>
    <n v="11"/>
    <n v="11"/>
    <n v="10"/>
    <n v="12"/>
    <n v="11"/>
    <n v="11"/>
    <n v="12"/>
    <n v="13"/>
    <n v="11"/>
    <n v="10"/>
    <n v="10"/>
    <n v="11"/>
    <n v="12"/>
    <n v="11"/>
    <n v="11"/>
    <n v="11"/>
    <s v="A154"/>
    <n v="0.66"/>
    <n v="23"/>
    <n v="48.5"/>
    <n v="67"/>
    <n v="19.899999999999999"/>
    <n v="1"/>
    <n v="1252"/>
    <n v="30.5"/>
    <n v="37.5"/>
    <n v="24.9"/>
    <n v="47.8"/>
    <n v="12.9"/>
    <n v="17.100000000000001"/>
    <n v="10.7"/>
    <n v="16.899999999999999"/>
    <n v="16.600000000000001"/>
    <n v="35.299999999999997"/>
    <n v="42.5"/>
    <n v="48.5"/>
    <n v="171"/>
    <x v="0"/>
    <s v="1 to 5"/>
    <s v="3 to 6 hours"/>
    <x v="0"/>
    <x v="1"/>
    <x v="0"/>
    <n v="3.0000000000000001E-3"/>
  </r>
  <r>
    <n v="10"/>
    <n v="14"/>
    <n v="14"/>
    <n v="16"/>
    <n v="16"/>
    <n v="16"/>
    <n v="16"/>
    <n v="10"/>
    <n v="10"/>
    <n v="16"/>
    <n v="22"/>
    <n v="18"/>
    <n v="22"/>
    <n v="22"/>
    <n v="10"/>
    <n v="16"/>
    <n v="16"/>
    <n v="16"/>
    <n v="16"/>
    <n v="16"/>
    <n v="16"/>
    <s v="A155"/>
    <n v="12.43"/>
    <s v="20-22"/>
    <n v="51.5"/>
    <n v="60"/>
    <n v="32.299999999999997"/>
    <n v="2.5"/>
    <n v="1129"/>
    <n v="24.1"/>
    <n v="27.4"/>
    <n v="18.899999999999999"/>
    <n v="34.9"/>
    <n v="24"/>
    <n v="43.3"/>
    <n v="21.6"/>
    <n v="34.1"/>
    <n v="18.7"/>
    <n v="38"/>
    <n v="45.6"/>
    <n v="48.25"/>
    <n v="166"/>
    <x v="1"/>
    <s v="More than 15"/>
    <s v="0 to 3 hours"/>
    <x v="0"/>
    <x v="1"/>
    <x v="1"/>
    <n v="0.01"/>
  </r>
  <r>
    <n v="10"/>
    <n v="10"/>
    <n v="13"/>
    <n v="15"/>
    <n v="15"/>
    <n v="15"/>
    <n v="21"/>
    <n v="15"/>
    <n v="24"/>
    <n v="30"/>
    <n v="29"/>
    <n v="30"/>
    <n v="31"/>
    <n v="33"/>
    <n v="33"/>
    <n v="37"/>
    <n v="39"/>
    <n v="45"/>
    <n v="45"/>
    <n v="45"/>
    <n v="45"/>
    <s v="A156"/>
    <n v="144.62"/>
    <s v="27-30"/>
    <n v="73.099999999999994"/>
    <n v="65"/>
    <n v="26.1"/>
    <n v="12.5"/>
    <n v="1626"/>
    <n v="29.3"/>
    <n v="35"/>
    <n v="22.3"/>
    <n v="46.7"/>
    <n v="18"/>
    <n v="22.7"/>
    <n v="16.2"/>
    <n v="23"/>
    <n v="24.7"/>
    <n v="38.200000000000003"/>
    <n v="46.25"/>
    <n v="49.6"/>
    <n v="172"/>
    <x v="0"/>
    <s v="6 to 15"/>
    <s v="0 to 3 hours"/>
    <x v="0"/>
    <x v="1"/>
    <x v="0"/>
    <n v="0.108"/>
  </r>
  <r>
    <n v="10"/>
    <n v="10"/>
    <n v="12"/>
    <n v="12"/>
    <n v="12"/>
    <n v="12"/>
    <n v="12"/>
    <n v="10"/>
    <n v="10"/>
    <n v="10"/>
    <n v="10"/>
    <n v="10"/>
    <n v="11"/>
    <n v="11"/>
    <n v="10"/>
    <n v="11"/>
    <n v="11"/>
    <n v="11"/>
    <n v="11"/>
    <n v="11"/>
    <n v="11"/>
    <s v="A157"/>
    <n v="0.6"/>
    <n v="28"/>
    <n v="76.900000000000006"/>
    <n v="64"/>
    <n v="35.200000000000003"/>
    <n v="19.5"/>
    <n v="1630"/>
    <n v="24.8"/>
    <n v="32.299999999999997"/>
    <n v="16.3"/>
    <n v="42.4"/>
    <n v="24.3"/>
    <n v="32.700000000000003"/>
    <n v="22.2"/>
    <n v="33.6"/>
    <n v="28.9"/>
    <n v="40.950000000000003"/>
    <n v="42.85"/>
    <n v="45.1"/>
    <n v="163"/>
    <x v="0"/>
    <s v="1 to 5"/>
    <s v="0 to 3 hours"/>
    <x v="1"/>
    <x v="1"/>
    <x v="1"/>
    <n v="-1E-3"/>
  </r>
  <r>
    <n v="10"/>
    <n v="10"/>
    <n v="12"/>
    <n v="12"/>
    <n v="12"/>
    <n v="12"/>
    <n v="12"/>
    <n v="12"/>
    <n v="12"/>
    <n v="14"/>
    <n v="16"/>
    <n v="16"/>
    <n v="16"/>
    <n v="16"/>
    <n v="16"/>
    <n v="16"/>
    <n v="16"/>
    <n v="16"/>
    <n v="16"/>
    <n v="16"/>
    <n v="16"/>
    <s v="A158"/>
    <n v="4.95"/>
    <s v="22-31"/>
    <n v="81.2"/>
    <n v="70"/>
    <n v="32.5"/>
    <n v="18.5"/>
    <n v="1714"/>
    <n v="26.4"/>
    <n v="33.1"/>
    <n v="18.3"/>
    <n v="43.9"/>
    <n v="22.5"/>
    <n v="28.8"/>
    <n v="20.5"/>
    <n v="29.6"/>
    <n v="28.1"/>
    <n v="39.35"/>
    <n v="48"/>
    <n v="46.8"/>
    <n v="170"/>
    <x v="0"/>
    <s v="6 to 15"/>
    <s v="3 to 6 hours"/>
    <x v="1"/>
    <x v="1"/>
    <x v="0"/>
    <n v="1.7999999999999999E-2"/>
  </r>
  <r>
    <n v="10"/>
    <n v="10"/>
    <n v="10"/>
    <n v="10"/>
    <n v="10"/>
    <n v="12"/>
    <n v="10"/>
    <n v="10"/>
    <n v="10"/>
    <n v="10"/>
    <n v="15"/>
    <n v="12"/>
    <n v="14"/>
    <n v="12"/>
    <n v="14"/>
    <n v="20"/>
    <n v="19"/>
    <n v="19"/>
    <n v="19"/>
    <n v="19"/>
    <n v="19"/>
    <s v="A159"/>
    <n v="14.92"/>
    <n v="28"/>
    <n v="63.4"/>
    <n v="38"/>
    <n v="13.7"/>
    <n v="5"/>
    <n v="1541"/>
    <n v="36.1"/>
    <n v="40.1"/>
    <n v="30.9"/>
    <n v="53.2"/>
    <n v="9.6999999999999993"/>
    <n v="13.9"/>
    <n v="8.3000000000000007"/>
    <n v="12.9"/>
    <n v="20.7"/>
    <n v="35.200000000000003"/>
    <n v="43.3"/>
    <n v="47.9"/>
    <n v="175"/>
    <x v="0"/>
    <s v="1 to 5"/>
    <s v="3 to 6 hours"/>
    <x v="0"/>
    <x v="0"/>
    <x v="0"/>
    <n v="3.1E-2"/>
  </r>
  <r>
    <n v="10"/>
    <n v="10"/>
    <n v="14"/>
    <n v="14"/>
    <n v="14"/>
    <n v="14"/>
    <n v="22"/>
    <n v="22"/>
    <n v="26"/>
    <n v="26"/>
    <n v="26"/>
    <n v="26"/>
    <n v="26"/>
    <n v="26"/>
    <n v="24"/>
    <n v="27"/>
    <n v="27"/>
    <n v="27"/>
    <n v="27"/>
    <n v="27"/>
    <n v="27"/>
    <s v="A160"/>
    <n v="37.81"/>
    <n v="20"/>
    <n v="44.6"/>
    <n v="54"/>
    <n v="24.1"/>
    <n v="2"/>
    <n v="1048"/>
    <n v="26.6"/>
    <n v="31.8"/>
    <n v="21.5"/>
    <n v="38.799999999999997"/>
    <n v="19.8"/>
    <n v="33.700000000000003"/>
    <n v="15.9"/>
    <n v="27.6"/>
    <n v="18.600000000000001"/>
    <n v="35"/>
    <n v="44.7"/>
    <n v="40.75"/>
    <n v="155"/>
    <x v="1"/>
    <s v="1 to 5"/>
    <s v="3 to 6 hours"/>
    <x v="0"/>
    <x v="1"/>
    <x v="1"/>
    <n v="4.9000000000000002E-2"/>
  </r>
  <r>
    <n v="10"/>
    <n v="10"/>
    <n v="10"/>
    <n v="12"/>
    <n v="12"/>
    <n v="12"/>
    <n v="12"/>
    <n v="10"/>
    <n v="10"/>
    <n v="10"/>
    <n v="12"/>
    <n v="12"/>
    <n v="10"/>
    <n v="12"/>
    <n v="12"/>
    <n v="12"/>
    <n v="12"/>
    <n v="12"/>
    <n v="14"/>
    <n v="14"/>
    <n v="14"/>
    <s v="A161"/>
    <n v="1.76"/>
    <n v="17"/>
    <n v="85.4"/>
    <n v="43"/>
    <n v="25.8"/>
    <n v="16"/>
    <n v="1837"/>
    <n v="31.2"/>
    <n v="35.1"/>
    <n v="23.8"/>
    <n v="48.5"/>
    <n v="18.600000000000001"/>
    <n v="22.8"/>
    <n v="17.2"/>
    <n v="23.1"/>
    <n v="29.6"/>
    <n v="43.05"/>
    <n v="47"/>
    <n v="44"/>
    <n v="165"/>
    <x v="0"/>
    <s v="6 to 15"/>
    <s v="6 to 9 hours"/>
    <x v="1"/>
    <x v="0"/>
    <x v="1"/>
    <n v="8.0000000000000002E-3"/>
  </r>
  <r>
    <n v="10"/>
    <n v="10"/>
    <n v="10"/>
    <n v="10"/>
    <n v="13"/>
    <n v="13"/>
    <n v="13"/>
    <n v="10"/>
    <n v="10"/>
    <n v="10"/>
    <n v="10"/>
    <n v="10"/>
    <n v="10"/>
    <n v="10"/>
    <n v="10"/>
    <n v="10"/>
    <n v="10"/>
    <n v="10"/>
    <n v="10"/>
    <n v="10"/>
    <n v="10"/>
    <s v="A162"/>
    <n v="1.1000000000000001"/>
    <n v="32"/>
    <n v="50.4"/>
    <n v="45"/>
    <n v="27.7"/>
    <n v="4"/>
    <n v="1129"/>
    <n v="25.8"/>
    <n v="29.6"/>
    <n v="20.5"/>
    <n v="38.700000000000003"/>
    <n v="23.8"/>
    <n v="38.200000000000003"/>
    <n v="19.8"/>
    <n v="32.799999999999997"/>
    <n v="21.5"/>
    <n v="35.75"/>
    <n v="44.1"/>
    <n v="42.25"/>
    <n v="153"/>
    <x v="1"/>
    <s v="1 to 5"/>
    <s v="3 to 6 hours"/>
    <x v="0"/>
    <x v="0"/>
    <x v="1"/>
    <n v="-3.0000000000000001E-3"/>
  </r>
  <r>
    <n v="10"/>
    <n v="10"/>
    <n v="10"/>
    <n v="10"/>
    <n v="10"/>
    <n v="14"/>
    <n v="12"/>
    <n v="10"/>
    <n v="10"/>
    <n v="10"/>
    <n v="12"/>
    <n v="12"/>
    <n v="12"/>
    <n v="14"/>
    <n v="10"/>
    <n v="12"/>
    <n v="14"/>
    <n v="14"/>
    <n v="14"/>
    <n v="14"/>
    <n v="14"/>
    <s v="A163"/>
    <n v="3.01"/>
    <n v="26"/>
    <n v="81.8"/>
    <n v="52"/>
    <n v="24.9"/>
    <n v="13.5"/>
    <n v="1784"/>
    <n v="31.4"/>
    <n v="35.799999999999997"/>
    <n v="24.2"/>
    <n v="48.7"/>
    <n v="17.600000000000001"/>
    <n v="21.7"/>
    <n v="16"/>
    <n v="21.9"/>
    <n v="26.7"/>
    <n v="39.9"/>
    <n v="45.15"/>
    <n v="46.65"/>
    <n v="175"/>
    <x v="0"/>
    <s v="1 to 5"/>
    <s v="3 to 6 hours"/>
    <x v="1"/>
    <x v="0"/>
    <x v="0"/>
    <n v="1.2E-2"/>
  </r>
  <r>
    <n v="10"/>
    <n v="10"/>
    <n v="10"/>
    <n v="13"/>
    <n v="13"/>
    <n v="13"/>
    <n v="13"/>
    <n v="13"/>
    <n v="13"/>
    <n v="13"/>
    <n v="13"/>
    <n v="14"/>
    <n v="14"/>
    <n v="15"/>
    <n v="15"/>
    <n v="15"/>
    <n v="16"/>
    <n v="16"/>
    <n v="16"/>
    <n v="16"/>
    <n v="16"/>
    <s v="A164"/>
    <n v="3.65"/>
    <n v="25"/>
    <n v="67.8"/>
    <n v="42"/>
    <n v="25.9"/>
    <n v="10"/>
    <n v="1548"/>
    <n v="30.1"/>
    <n v="36.700000000000003"/>
    <n v="22.9"/>
    <n v="47.5"/>
    <n v="17.8"/>
    <n v="24.8"/>
    <n v="15.9"/>
    <n v="24.8"/>
    <n v="24.3"/>
    <n v="34.549999999999997"/>
    <n v="42.4"/>
    <n v="46.75"/>
    <n v="167"/>
    <x v="0"/>
    <n v="0"/>
    <s v="3 to 6 hours"/>
    <x v="0"/>
    <x v="0"/>
    <x v="0"/>
    <n v="1.6E-2"/>
  </r>
  <r>
    <n v="10"/>
    <n v="10"/>
    <n v="12"/>
    <n v="11"/>
    <n v="10"/>
    <n v="10"/>
    <n v="10"/>
    <n v="10"/>
    <n v="10"/>
    <n v="10"/>
    <n v="12"/>
    <n v="10"/>
    <n v="10"/>
    <n v="10"/>
    <n v="10"/>
    <n v="10"/>
    <n v="10"/>
    <n v="10"/>
    <n v="10"/>
    <n v="10"/>
    <n v="10"/>
    <s v="A165"/>
    <n v="0.37"/>
    <n v="28"/>
    <n v="67.400000000000006"/>
    <n v="47"/>
    <n v="34.4"/>
    <n v="8"/>
    <n v="1367"/>
    <n v="24.3"/>
    <n v="24.2"/>
    <n v="17.899999999999999"/>
    <n v="37.6"/>
    <n v="30.4"/>
    <n v="45.8"/>
    <n v="26.5"/>
    <n v="40.700000000000003"/>
    <n v="26"/>
    <n v="41.45"/>
    <n v="47.6"/>
    <n v="43.9"/>
    <n v="161"/>
    <x v="1"/>
    <s v="1 to 5"/>
    <s v="0 to 3 hours"/>
    <x v="1"/>
    <x v="0"/>
    <x v="1"/>
    <n v="-2E-3"/>
  </r>
  <r>
    <n v="10"/>
    <n v="10"/>
    <n v="10"/>
    <n v="10"/>
    <n v="10"/>
    <n v="10"/>
    <n v="10"/>
    <n v="10"/>
    <n v="11"/>
    <n v="11"/>
    <n v="11"/>
    <n v="11"/>
    <n v="11"/>
    <n v="11"/>
    <n v="11"/>
    <n v="11"/>
    <n v="11"/>
    <n v="12"/>
    <n v="13"/>
    <n v="15"/>
    <n v="15"/>
    <s v="A166"/>
    <n v="2.12"/>
    <n v="20"/>
    <n v="41.8"/>
    <n v="48"/>
    <n v="22.5"/>
    <n v="1"/>
    <n v="1009"/>
    <n v="27.3"/>
    <n v="33.299999999999997"/>
    <n v="22.7"/>
    <n v="37.5"/>
    <n v="17.399999999999999"/>
    <n v="32.6"/>
    <n v="13.8"/>
    <n v="26.2"/>
    <n v="16.3"/>
    <n v="31.05"/>
    <n v="45.15"/>
    <n v="45.05"/>
    <n v="160"/>
    <x v="1"/>
    <n v="0"/>
    <s v="3 to 6 hours"/>
    <x v="0"/>
    <x v="0"/>
    <x v="1"/>
    <n v="1.0999999999999999E-2"/>
  </r>
  <r>
    <n v="11"/>
    <n v="11"/>
    <n v="11"/>
    <n v="12"/>
    <n v="12"/>
    <n v="13"/>
    <n v="13"/>
    <n v="11"/>
    <n v="12"/>
    <n v="12"/>
    <n v="13"/>
    <n v="14"/>
    <n v="15"/>
    <n v="15"/>
    <n v="11"/>
    <n v="12"/>
    <n v="14"/>
    <n v="14"/>
    <n v="16"/>
    <n v="16"/>
    <n v="17"/>
    <s v="A167"/>
    <n v="3.32"/>
    <n v="22"/>
    <n v="66.8"/>
    <n v="62"/>
    <n v="21.4"/>
    <n v="10"/>
    <n v="1549"/>
    <n v="31"/>
    <n v="36.299999999999997"/>
    <n v="24.9"/>
    <n v="48.3"/>
    <n v="14.8"/>
    <n v="18.399999999999999"/>
    <n v="13.2"/>
    <n v="18.3"/>
    <n v="23.4"/>
    <n v="35.65"/>
    <n v="43.1"/>
    <n v="47.6"/>
    <n v="169"/>
    <x v="0"/>
    <s v="1 to 5"/>
    <s v="6 to 9 hours"/>
    <x v="0"/>
    <x v="1"/>
    <x v="0"/>
    <n v="1.2999999999999999E-2"/>
  </r>
  <r>
    <n v="10"/>
    <n v="10"/>
    <n v="11"/>
    <n v="13"/>
    <n v="16"/>
    <n v="16"/>
    <n v="16"/>
    <n v="10"/>
    <n v="14"/>
    <n v="16"/>
    <n v="16"/>
    <n v="16"/>
    <n v="16"/>
    <n v="18"/>
    <n v="10"/>
    <n v="10"/>
    <n v="10"/>
    <n v="14"/>
    <n v="16"/>
    <n v="18"/>
    <n v="18"/>
    <s v="A168"/>
    <n v="8.86"/>
    <n v="22"/>
    <n v="66.8"/>
    <n v="41"/>
    <n v="31.7"/>
    <n v="5.5"/>
    <n v="1373"/>
    <n v="25.8"/>
    <n v="26.1"/>
    <n v="19.600000000000001"/>
    <n v="38.9"/>
    <n v="27.5"/>
    <n v="43.1"/>
    <n v="23.7"/>
    <n v="37.9"/>
    <n v="24"/>
    <n v="41.6"/>
    <n v="47.4"/>
    <n v="43.7"/>
    <n v="167"/>
    <x v="1"/>
    <s v="1 to 5"/>
    <s v="6 to 9 hours"/>
    <x v="0"/>
    <x v="0"/>
    <x v="0"/>
    <n v="1.0999999999999999E-2"/>
  </r>
  <r>
    <n v="10"/>
    <n v="10"/>
    <n v="12"/>
    <n v="12"/>
    <n v="12"/>
    <n v="13"/>
    <n v="14"/>
    <n v="10"/>
    <n v="12"/>
    <n v="14"/>
    <n v="18"/>
    <n v="18"/>
    <n v="18"/>
    <n v="14"/>
    <n v="10"/>
    <n v="14"/>
    <n v="14"/>
    <n v="14"/>
    <n v="17"/>
    <n v="20"/>
    <n v="21"/>
    <s v="A169"/>
    <n v="10.6"/>
    <n v="17"/>
    <n v="69"/>
    <n v="53"/>
    <n v="29.3"/>
    <n v="13.5"/>
    <n v="1543"/>
    <n v="27.7"/>
    <n v="34.700000000000003"/>
    <n v="20.2"/>
    <n v="45.2"/>
    <n v="20.2"/>
    <n v="27.2"/>
    <n v="18.2"/>
    <n v="27.6"/>
    <n v="26"/>
    <n v="42.55"/>
    <n v="46.35"/>
    <n v="45.95"/>
    <n v="163"/>
    <x v="0"/>
    <s v="1 to 5"/>
    <s v="3 to 6 hours"/>
    <x v="1"/>
    <x v="1"/>
    <x v="1"/>
    <n v="2.1000000000000001E-2"/>
  </r>
  <r>
    <n v="10"/>
    <n v="10"/>
    <n v="10"/>
    <n v="10"/>
    <n v="13"/>
    <n v="13"/>
    <n v="13"/>
    <n v="13"/>
    <n v="13"/>
    <n v="13"/>
    <n v="15"/>
    <n v="17"/>
    <n v="15"/>
    <n v="15"/>
    <n v="15"/>
    <n v="15"/>
    <n v="15"/>
    <n v="15"/>
    <n v="17"/>
    <n v="17"/>
    <n v="19"/>
    <s v="A170"/>
    <n v="6.14"/>
    <n v="19"/>
    <n v="48.8"/>
    <n v="61"/>
    <n v="32.1"/>
    <n v="2.5"/>
    <n v="1087"/>
    <n v="23.8"/>
    <n v="27.6"/>
    <n v="18.7"/>
    <n v="34.799999999999997"/>
    <n v="23.9"/>
    <n v="42.8"/>
    <n v="21.4"/>
    <n v="33.4"/>
    <n v="18.600000000000001"/>
    <n v="36"/>
    <n v="43.3"/>
    <n v="42.9"/>
    <n v="162"/>
    <x v="1"/>
    <s v="More than 15"/>
    <s v="0 to 3 hours"/>
    <x v="0"/>
    <x v="1"/>
    <x v="1"/>
    <n v="2.1000000000000001E-2"/>
  </r>
  <r>
    <n v="10"/>
    <n v="10"/>
    <n v="11"/>
    <n v="12"/>
    <n v="12"/>
    <n v="12"/>
    <n v="12"/>
    <n v="10"/>
    <n v="10"/>
    <n v="10"/>
    <n v="10"/>
    <n v="10"/>
    <n v="10"/>
    <n v="10"/>
    <n v="10"/>
    <n v="11"/>
    <n v="12"/>
    <n v="12"/>
    <n v="12"/>
    <n v="12"/>
    <n v="12"/>
    <s v="A171"/>
    <n v="0.9"/>
    <n v="23"/>
    <n v="77.599999999999994"/>
    <n v="52"/>
    <n v="28.4"/>
    <n v="14"/>
    <n v="1689"/>
    <n v="29"/>
    <n v="35.1"/>
    <n v="21.4"/>
    <n v="46.4"/>
    <n v="19.8"/>
    <n v="26"/>
    <n v="17.899999999999999"/>
    <n v="26.4"/>
    <n v="26.9"/>
    <n v="40"/>
    <n v="46.25"/>
    <n v="46.35"/>
    <n v="170"/>
    <x v="0"/>
    <s v="6 to 15"/>
    <s v="0 to 3 hours"/>
    <x v="1"/>
    <x v="0"/>
    <x v="0"/>
    <n v="2E-3"/>
  </r>
  <r>
    <n v="24"/>
    <n v="22"/>
    <n v="22"/>
    <n v="22"/>
    <n v="23"/>
    <n v="26"/>
    <n v="25"/>
    <n v="20"/>
    <n v="22"/>
    <n v="25"/>
    <n v="25"/>
    <n v="28"/>
    <n v="28"/>
    <n v="29"/>
    <n v="23"/>
    <n v="24"/>
    <n v="31"/>
    <n v="32"/>
    <n v="34"/>
    <n v="33"/>
    <n v="35"/>
    <s v="A172"/>
    <n v="18.98"/>
    <n v="25"/>
    <n v="81.5"/>
    <n v="53"/>
    <n v="27.1"/>
    <n v="11.5"/>
    <n v="1765"/>
    <n v="30.4"/>
    <n v="36"/>
    <n v="22.8"/>
    <n v="47.7"/>
    <n v="18.7"/>
    <n v="24.6"/>
    <n v="16.8"/>
    <n v="24.9"/>
    <n v="25.2"/>
    <n v="40.25"/>
    <n v="48.55"/>
    <n v="49.5"/>
    <n v="180"/>
    <x v="0"/>
    <s v="1 to 5"/>
    <s v="3 to 6 hours"/>
    <x v="1"/>
    <x v="1"/>
    <x v="0"/>
    <n v="3.3000000000000002E-2"/>
  </r>
  <r>
    <n v="10"/>
    <n v="10"/>
    <n v="10"/>
    <n v="20"/>
    <n v="20"/>
    <n v="20"/>
    <n v="20"/>
    <n v="20"/>
    <n v="30"/>
    <n v="30"/>
    <n v="30"/>
    <n v="32"/>
    <n v="32"/>
    <n v="32"/>
    <n v="34"/>
    <n v="34"/>
    <n v="35"/>
    <n v="35"/>
    <n v="35"/>
    <n v="37"/>
    <n v="39"/>
    <s v="A173"/>
    <n v="83.23"/>
    <n v="15"/>
    <n v="69.900000000000006"/>
    <n v="65"/>
    <n v="27.9"/>
    <n v="13.5"/>
    <n v="1562"/>
    <n v="27.8"/>
    <n v="34.5"/>
    <n v="20.6"/>
    <n v="45.3"/>
    <n v="19.2"/>
    <n v="24.5"/>
    <n v="17.3"/>
    <n v="25"/>
    <n v="25.4"/>
    <n v="37.700000000000003"/>
    <n v="42.4"/>
    <n v="47.8"/>
    <n v="166"/>
    <x v="0"/>
    <s v="1 to 5"/>
    <s v="0 to 3 hours"/>
    <x v="1"/>
    <x v="1"/>
    <x v="1"/>
    <n v="7.9000000000000001E-2"/>
  </r>
  <r>
    <n v="26"/>
    <n v="26"/>
    <n v="26"/>
    <n v="30"/>
    <n v="30"/>
    <n v="30"/>
    <n v="34"/>
    <n v="28"/>
    <n v="30"/>
    <n v="34"/>
    <n v="34"/>
    <n v="34"/>
    <n v="36"/>
    <n v="36"/>
    <n v="37"/>
    <n v="37"/>
    <n v="37"/>
    <n v="37"/>
    <n v="39"/>
    <n v="39"/>
    <n v="39"/>
    <s v="A174"/>
    <n v="19.059999999999999"/>
    <n v="24"/>
    <n v="69.599999999999994"/>
    <n v="67"/>
    <n v="23.6"/>
    <n v="9"/>
    <n v="1585"/>
    <n v="30.4"/>
    <n v="36.200000000000003"/>
    <n v="23.9"/>
    <n v="47.8"/>
    <n v="16.100000000000001"/>
    <n v="20.3"/>
    <n v="14.1"/>
    <n v="20.399999999999999"/>
    <n v="22.5"/>
    <n v="38.9"/>
    <n v="47.5"/>
    <n v="48.8"/>
    <n v="176"/>
    <x v="0"/>
    <s v="6 to 15"/>
    <s v="0 to 3 hours"/>
    <x v="0"/>
    <x v="1"/>
    <x v="0"/>
    <n v="3.7999999999999999E-2"/>
  </r>
  <r>
    <n v="10"/>
    <n v="10"/>
    <n v="10"/>
    <n v="10"/>
    <n v="10"/>
    <n v="12"/>
    <n v="14"/>
    <n v="14"/>
    <n v="22"/>
    <n v="24"/>
    <n v="29"/>
    <n v="29"/>
    <n v="38"/>
    <n v="40"/>
    <n v="38"/>
    <n v="43"/>
    <n v="40"/>
    <n v="41"/>
    <n v="45"/>
    <n v="45"/>
    <n v="41"/>
    <s v="A175"/>
    <n v="186.94"/>
    <n v="20"/>
    <n v="68.8"/>
    <n v="47"/>
    <n v="19.7"/>
    <n v="8.5"/>
    <n v="1597"/>
    <n v="32.9"/>
    <n v="38"/>
    <n v="26.8"/>
    <n v="50.2"/>
    <n v="13.9"/>
    <n v="18.100000000000001"/>
    <n v="12.3"/>
    <n v="17.7"/>
    <n v="23.5"/>
    <n v="37.65"/>
    <n v="46.1"/>
    <n v="44.2"/>
    <n v="171"/>
    <x v="0"/>
    <s v="1 to 5"/>
    <s v="3 to 6 hours"/>
    <x v="0"/>
    <x v="0"/>
    <x v="0"/>
    <n v="0.11899999999999999"/>
  </r>
  <r>
    <n v="10"/>
    <n v="10"/>
    <n v="10"/>
    <n v="10"/>
    <n v="10"/>
    <n v="10"/>
    <n v="11"/>
    <n v="10"/>
    <n v="10"/>
    <n v="10"/>
    <n v="10"/>
    <n v="10"/>
    <n v="10"/>
    <n v="11"/>
    <n v="10"/>
    <n v="10"/>
    <n v="10"/>
    <n v="10"/>
    <n v="10"/>
    <n v="10"/>
    <n v="11"/>
    <s v="A176"/>
    <n v="0.12"/>
    <n v="32"/>
    <n v="69"/>
    <n v="50"/>
    <n v="22.5"/>
    <n v="6"/>
    <n v="1589"/>
    <n v="32.200000000000003"/>
    <n v="38"/>
    <n v="25.5"/>
    <n v="49.5"/>
    <n v="15.2"/>
    <n v="20.9"/>
    <n v="13.2"/>
    <n v="20.8"/>
    <n v="21.3"/>
    <n v="39.799999999999997"/>
    <n v="48"/>
    <n v="51.3"/>
    <n v="180"/>
    <x v="0"/>
    <s v="1 to 5"/>
    <s v="6 to 9 hours"/>
    <x v="0"/>
    <x v="0"/>
    <x v="0"/>
    <n v="1E-3"/>
  </r>
  <r>
    <n v="20"/>
    <n v="10"/>
    <n v="10"/>
    <n v="10"/>
    <n v="10"/>
    <n v="10"/>
    <n v="10"/>
    <n v="10"/>
    <n v="10"/>
    <n v="10"/>
    <n v="10"/>
    <n v="10"/>
    <n v="10"/>
    <n v="10"/>
    <n v="12"/>
    <n v="16"/>
    <n v="10"/>
    <n v="12"/>
    <n v="12"/>
    <n v="14"/>
    <n v="12"/>
    <s v="A177"/>
    <n v="6.22"/>
    <n v="21"/>
    <n v="86.4"/>
    <n v="43"/>
    <n v="39.5"/>
    <n v="18"/>
    <n v="1629"/>
    <n v="23.2"/>
    <n v="18.7"/>
    <n v="15.4"/>
    <n v="37.700000000000003"/>
    <n v="38.5"/>
    <n v="51.1"/>
    <n v="34.299999999999997"/>
    <n v="49.5"/>
    <n v="35.1"/>
    <n v="46.1"/>
    <n v="45"/>
    <n v="42.9"/>
    <n v="157"/>
    <x v="1"/>
    <s v="1 to 5"/>
    <s v="6 to 9 hours"/>
    <x v="1"/>
    <x v="0"/>
    <x v="1"/>
    <n v="1E-3"/>
  </r>
  <r>
    <n v="10"/>
    <n v="10"/>
    <n v="10"/>
    <n v="10"/>
    <n v="10"/>
    <n v="10"/>
    <n v="12"/>
    <n v="10"/>
    <n v="10"/>
    <n v="11"/>
    <n v="12"/>
    <n v="12"/>
    <n v="10"/>
    <n v="10"/>
    <n v="10"/>
    <n v="11"/>
    <n v="11"/>
    <n v="12"/>
    <n v="12"/>
    <n v="13"/>
    <n v="16"/>
    <s v="A178"/>
    <n v="2.14"/>
    <n v="21"/>
    <n v="58.5"/>
    <n v="54"/>
    <n v="24.3"/>
    <n v="7.5"/>
    <n v="1400"/>
    <n v="29.6"/>
    <n v="36.200000000000003"/>
    <n v="23"/>
    <n v="47"/>
    <n v="16.3"/>
    <n v="22.1"/>
    <n v="14.3"/>
    <n v="22.2"/>
    <n v="21.5"/>
    <n v="34.6"/>
    <n v="46.35"/>
    <n v="46.95"/>
    <n v="165"/>
    <x v="0"/>
    <s v="1 to 5"/>
    <s v="More than 9 hours"/>
    <x v="0"/>
    <x v="1"/>
    <x v="1"/>
    <n v="8.9999999999999993E-3"/>
  </r>
  <r>
    <n v="10"/>
    <n v="10"/>
    <n v="10"/>
    <n v="10"/>
    <n v="10"/>
    <n v="10"/>
    <n v="10"/>
    <n v="10"/>
    <n v="10"/>
    <n v="10"/>
    <n v="10"/>
    <n v="10"/>
    <n v="10"/>
    <n v="10"/>
    <n v="10"/>
    <n v="10"/>
    <n v="10"/>
    <n v="10"/>
    <n v="10"/>
    <n v="10"/>
    <n v="10"/>
    <s v="A179"/>
    <n v="0"/>
    <n v="27"/>
    <n v="46.3"/>
    <n v="43"/>
    <n v="33.4"/>
    <n v="3"/>
    <n v="1044"/>
    <n v="23.2"/>
    <n v="27.4"/>
    <n v="18.600000000000001"/>
    <n v="35"/>
    <n v="25.6"/>
    <n v="45.2"/>
    <n v="23"/>
    <n v="37"/>
    <n v="20"/>
    <n v="34.200000000000003"/>
    <n v="39.25"/>
    <n v="39.299999999999997"/>
    <n v="152"/>
    <x v="1"/>
    <n v="0"/>
    <s v="3 to 6 hours"/>
    <x v="0"/>
    <x v="0"/>
    <x v="1"/>
    <n v="0"/>
  </r>
  <r>
    <n v="12"/>
    <n v="12"/>
    <n v="10"/>
    <n v="10"/>
    <n v="10"/>
    <n v="11"/>
    <n v="14"/>
    <n v="10"/>
    <n v="13"/>
    <n v="18"/>
    <n v="25"/>
    <n v="25"/>
    <n v="24"/>
    <n v="24"/>
    <n v="16"/>
    <n v="21"/>
    <n v="23"/>
    <n v="31"/>
    <n v="30"/>
    <n v="32"/>
    <n v="25"/>
    <s v="A180"/>
    <n v="55.65"/>
    <s v="32-35"/>
    <n v="65.599999999999994"/>
    <n v="45"/>
    <n v="22.6"/>
    <n v="8"/>
    <n v="1529"/>
    <n v="31.5"/>
    <n v="37.6"/>
    <n v="24.9"/>
    <n v="48.8"/>
    <n v="15.5"/>
    <n v="21.3"/>
    <n v="13.6"/>
    <n v="21.1"/>
    <n v="22.7"/>
    <n v="36.25"/>
    <n v="44.05"/>
    <n v="45.75"/>
    <n v="170"/>
    <x v="0"/>
    <s v="1 to 5"/>
    <s v="3 to 6 hours"/>
    <x v="0"/>
    <x v="0"/>
    <x v="0"/>
    <n v="5.8999999999999997E-2"/>
  </r>
  <r>
    <n v="10"/>
    <n v="10"/>
    <n v="10"/>
    <n v="12"/>
    <n v="20"/>
    <n v="18"/>
    <n v="21"/>
    <n v="10"/>
    <n v="10"/>
    <n v="12"/>
    <n v="12"/>
    <n v="10"/>
    <n v="10"/>
    <n v="12"/>
    <n v="11"/>
    <n v="10"/>
    <n v="14"/>
    <n v="15"/>
    <n v="14"/>
    <n v="15"/>
    <n v="12"/>
    <s v="A181"/>
    <n v="10.85"/>
    <n v="32"/>
    <n v="40"/>
    <n v="44"/>
    <n v="25.4"/>
    <n v="2"/>
    <n v="969"/>
    <n v="25.1"/>
    <n v="31.1"/>
    <n v="20.6"/>
    <n v="37.1"/>
    <n v="20.2"/>
    <n v="35.700000000000003"/>
    <n v="16.600000000000001"/>
    <n v="29.2"/>
    <n v="18.3"/>
    <n v="34.450000000000003"/>
    <n v="43.8"/>
    <n v="38.1"/>
    <n v="148"/>
    <x v="1"/>
    <s v="1 to 5"/>
    <s v="6 to 9 hours"/>
    <x v="0"/>
    <x v="0"/>
    <x v="1"/>
    <n v="1E-3"/>
  </r>
  <r>
    <n v="10"/>
    <n v="10"/>
    <n v="12"/>
    <n v="12"/>
    <n v="13"/>
    <n v="13"/>
    <n v="13"/>
    <n v="10"/>
    <n v="13"/>
    <n v="13"/>
    <n v="17"/>
    <n v="17"/>
    <n v="17"/>
    <n v="17"/>
    <n v="15"/>
    <n v="17"/>
    <n v="17"/>
    <n v="17"/>
    <n v="17"/>
    <n v="17"/>
    <n v="17"/>
    <s v="A182"/>
    <n v="7.01"/>
    <n v="25"/>
    <n v="76.8"/>
    <n v="55"/>
    <n v="41"/>
    <n v="11"/>
    <n v="1469"/>
    <n v="21.4"/>
    <n v="18.7"/>
    <n v="15"/>
    <n v="34.5"/>
    <n v="35.299999999999997"/>
    <n v="55"/>
    <n v="32.1"/>
    <n v="49.8"/>
    <n v="28.2"/>
    <n v="47.4"/>
    <n v="53.75"/>
    <n v="45.8"/>
    <n v="165"/>
    <x v="1"/>
    <s v="1 to 5"/>
    <s v="3 to 6 hours"/>
    <x v="1"/>
    <x v="1"/>
    <x v="1"/>
    <n v="2.1000000000000001E-2"/>
  </r>
  <r>
    <n v="10"/>
    <n v="10"/>
    <n v="10"/>
    <n v="10"/>
    <n v="10"/>
    <n v="10"/>
    <n v="10"/>
    <n v="10"/>
    <n v="10"/>
    <n v="10"/>
    <n v="10"/>
    <n v="10"/>
    <n v="10"/>
    <n v="10"/>
    <n v="10"/>
    <n v="11"/>
    <n v="11"/>
    <n v="11"/>
    <n v="11"/>
    <n v="11"/>
    <n v="11"/>
    <s v="A183"/>
    <n v="0.2"/>
    <s v="30-31"/>
    <n v="49.7"/>
    <n v="58"/>
    <n v="28.8"/>
    <n v="3"/>
    <n v="1114"/>
    <n v="25.3"/>
    <n v="29.1"/>
    <n v="19.899999999999999"/>
    <n v="36.700000000000003"/>
    <n v="22.6"/>
    <n v="38.9"/>
    <n v="19.399999999999999"/>
    <n v="31.2"/>
    <n v="19.2"/>
    <n v="36.700000000000003"/>
    <n v="44.45"/>
    <n v="45.95"/>
    <n v="161"/>
    <x v="1"/>
    <s v="6 to 15"/>
    <s v="0 to 3 hours"/>
    <x v="0"/>
    <x v="1"/>
    <x v="1"/>
    <n v="3.0000000000000001E-3"/>
  </r>
  <r>
    <n v="10"/>
    <n v="12"/>
    <n v="13"/>
    <n v="13"/>
    <n v="14"/>
    <n v="15"/>
    <n v="17"/>
    <n v="10"/>
    <n v="11"/>
    <n v="13"/>
    <n v="15"/>
    <n v="16"/>
    <n v="17"/>
    <n v="17"/>
    <n v="10"/>
    <n v="13"/>
    <n v="16"/>
    <n v="16"/>
    <n v="18"/>
    <n v="19"/>
    <n v="18"/>
    <s v="A184"/>
    <n v="7.58"/>
    <n v="31"/>
    <n v="78.5"/>
    <n v="59"/>
    <n v="30"/>
    <n v="16"/>
    <n v="1691"/>
    <n v="27.9"/>
    <n v="34.200000000000003"/>
    <n v="20.100000000000001"/>
    <n v="45.3"/>
    <n v="20.9"/>
    <n v="27.1"/>
    <n v="19"/>
    <n v="27.7"/>
    <n v="27.5"/>
    <n v="41.05"/>
    <n v="47.4"/>
    <n v="47.95"/>
    <n v="169"/>
    <x v="0"/>
    <s v="6 to 15"/>
    <s v="0 to 3 hours"/>
    <x v="1"/>
    <x v="1"/>
    <x v="0"/>
    <n v="1.6E-2"/>
  </r>
  <r>
    <n v="10"/>
    <n v="10"/>
    <n v="10"/>
    <n v="10"/>
    <n v="10"/>
    <n v="12"/>
    <n v="12"/>
    <n v="10"/>
    <n v="10"/>
    <n v="10"/>
    <n v="10"/>
    <n v="10"/>
    <n v="11"/>
    <n v="11"/>
    <n v="10"/>
    <n v="10"/>
    <n v="11"/>
    <n v="11"/>
    <n v="11"/>
    <n v="11"/>
    <n v="11"/>
    <s v="A185"/>
    <n v="0.44"/>
    <n v="19"/>
    <n v="53.2"/>
    <n v="48"/>
    <n v="10.8"/>
    <n v="3.5"/>
    <n v="1369"/>
    <n v="35.1"/>
    <n v="40.700000000000003"/>
    <n v="31"/>
    <n v="52.3"/>
    <n v="7.6"/>
    <n v="11.3"/>
    <n v="6.2"/>
    <n v="10.1"/>
    <n v="19.3"/>
    <n v="36.25"/>
    <n v="46.4"/>
    <n v="51.35"/>
    <n v="166"/>
    <x v="0"/>
    <n v="0"/>
    <s v="More than 9 hours"/>
    <x v="0"/>
    <x v="0"/>
    <x v="1"/>
    <n v="2E-3"/>
  </r>
  <r>
    <n v="10"/>
    <n v="11"/>
    <n v="13"/>
    <n v="13"/>
    <n v="13"/>
    <n v="15"/>
    <n v="15"/>
    <n v="10"/>
    <n v="11"/>
    <n v="13"/>
    <n v="17"/>
    <n v="19"/>
    <n v="19"/>
    <n v="17"/>
    <n v="10"/>
    <n v="10"/>
    <n v="13"/>
    <n v="15"/>
    <n v="15"/>
    <n v="15"/>
    <n v="16"/>
    <s v="A186"/>
    <n v="7.77"/>
    <n v="32"/>
    <n v="56.2"/>
    <n v="45"/>
    <n v="13.7"/>
    <n v="1"/>
    <n v="1417"/>
    <n v="35.799999999999997"/>
    <n v="41.4"/>
    <n v="30.7"/>
    <n v="53"/>
    <n v="9.1"/>
    <n v="14.1"/>
    <n v="7.4"/>
    <n v="13.1"/>
    <n v="17.3"/>
    <n v="35.5"/>
    <n v="48.9"/>
    <n v="49.65"/>
    <n v="180"/>
    <x v="0"/>
    <n v="0"/>
    <s v="More than 9 hours"/>
    <x v="0"/>
    <x v="0"/>
    <x v="0"/>
    <n v="0.01"/>
  </r>
  <r>
    <n v="10"/>
    <n v="11"/>
    <n v="11"/>
    <n v="12"/>
    <n v="12"/>
    <n v="14"/>
    <n v="10"/>
    <n v="10"/>
    <n v="10"/>
    <n v="10"/>
    <n v="16"/>
    <n v="16"/>
    <n v="13"/>
    <n v="17"/>
    <n v="12"/>
    <n v="12"/>
    <n v="10"/>
    <n v="12"/>
    <n v="15"/>
    <n v="14"/>
    <n v="19"/>
    <s v="A187"/>
    <n v="6.7"/>
    <n v="26"/>
    <n v="84.8"/>
    <n v="54"/>
    <n v="27.3"/>
    <n v="14.5"/>
    <n v="1816"/>
    <n v="30.3"/>
    <n v="35.4"/>
    <n v="22.6"/>
    <n v="47.6"/>
    <n v="19.2"/>
    <n v="24.1"/>
    <n v="17.5"/>
    <n v="24.5"/>
    <n v="27.4"/>
    <n v="42.1"/>
    <n v="48.7"/>
    <n v="48.75"/>
    <n v="176"/>
    <x v="0"/>
    <s v="6 to 15"/>
    <s v="3 to 6 hours"/>
    <x v="1"/>
    <x v="1"/>
    <x v="0"/>
    <n v="1.2E-2"/>
  </r>
  <r>
    <n v="10"/>
    <n v="10"/>
    <n v="11"/>
    <n v="12"/>
    <n v="13"/>
    <n v="12"/>
    <n v="11"/>
    <n v="10"/>
    <n v="10"/>
    <n v="12"/>
    <n v="14"/>
    <n v="13"/>
    <n v="13"/>
    <n v="11"/>
    <n v="10"/>
    <n v="11"/>
    <n v="11"/>
    <n v="11"/>
    <n v="14"/>
    <n v="14"/>
    <n v="17"/>
    <s v="A188"/>
    <n v="3.13"/>
    <n v="27"/>
    <n v="54.7"/>
    <n v="49"/>
    <n v="33.200000000000003"/>
    <n v="3.5"/>
    <n v="1176"/>
    <n v="24.1"/>
    <n v="26.6"/>
    <n v="18.8"/>
    <n v="35.6"/>
    <n v="25.8"/>
    <n v="45.1"/>
    <n v="23.1"/>
    <n v="37.200000000000003"/>
    <n v="20.6"/>
    <n v="39.5"/>
    <n v="44.95"/>
    <n v="45.3"/>
    <n v="163"/>
    <x v="1"/>
    <s v="6 to 15"/>
    <s v="3 to 6 hours"/>
    <x v="0"/>
    <x v="0"/>
    <x v="1"/>
    <n v="8.0000000000000002E-3"/>
  </r>
  <r>
    <n v="11"/>
    <n v="11"/>
    <n v="17"/>
    <n v="27"/>
    <n v="32"/>
    <n v="36"/>
    <n v="36"/>
    <n v="27"/>
    <n v="30"/>
    <n v="31"/>
    <n v="34"/>
    <n v="36"/>
    <n v="37"/>
    <n v="37"/>
    <n v="32"/>
    <n v="38"/>
    <n v="44"/>
    <n v="40"/>
    <n v="46"/>
    <n v="48"/>
    <n v="47"/>
    <s v="A189"/>
    <n v="102.63"/>
    <n v="31"/>
    <n v="63.9"/>
    <n v="51"/>
    <n v="19.2"/>
    <n v="7"/>
    <n v="1516"/>
    <n v="32.6"/>
    <n v="37.4"/>
    <n v="26.7"/>
    <n v="49.9"/>
    <n v="13.2"/>
    <n v="17.7"/>
    <n v="11.5"/>
    <n v="17.3"/>
    <n v="21.6"/>
    <n v="37.799999999999997"/>
    <n v="47.6"/>
    <n v="47.85"/>
    <n v="172"/>
    <x v="0"/>
    <s v="1 to 5"/>
    <s v="6 to 9 hours"/>
    <x v="0"/>
    <x v="0"/>
    <x v="0"/>
    <n v="8.2000000000000003E-2"/>
  </r>
  <r>
    <n v="10"/>
    <n v="11"/>
    <n v="12"/>
    <n v="14"/>
    <n v="13"/>
    <n v="13"/>
    <n v="10"/>
    <n v="10"/>
    <n v="10"/>
    <n v="11"/>
    <n v="12"/>
    <n v="16"/>
    <n v="14"/>
    <n v="15"/>
    <n v="10"/>
    <n v="14"/>
    <n v="14"/>
    <n v="13"/>
    <n v="18"/>
    <n v="15"/>
    <n v="15"/>
    <s v="A190"/>
    <n v="4.9800000000000004"/>
    <s v="24-25"/>
    <n v="78"/>
    <n v="49"/>
    <n v="27"/>
    <n v="12"/>
    <n v="1708"/>
    <n v="30.2"/>
    <n v="35.6"/>
    <n v="22.7"/>
    <n v="47.5"/>
    <n v="18.600000000000001"/>
    <n v="24.9"/>
    <n v="16.8"/>
    <n v="25.1"/>
    <n v="25.5"/>
    <n v="38.700000000000003"/>
    <n v="46.1"/>
    <n v="49.45"/>
    <n v="175"/>
    <x v="0"/>
    <s v="6 to 15"/>
    <s v="3 to 6 hours"/>
    <x v="1"/>
    <x v="0"/>
    <x v="0"/>
    <n v="1.2E-2"/>
  </r>
  <r>
    <n v="10"/>
    <n v="10"/>
    <n v="12"/>
    <n v="12"/>
    <n v="12"/>
    <n v="12"/>
    <n v="12"/>
    <n v="10"/>
    <n v="10"/>
    <n v="10"/>
    <n v="10"/>
    <n v="12"/>
    <n v="12"/>
    <n v="12"/>
    <n v="10"/>
    <n v="10"/>
    <n v="10"/>
    <n v="12"/>
    <n v="12"/>
    <n v="12"/>
    <n v="12"/>
    <s v="A192"/>
    <n v="0.98"/>
    <n v="21"/>
    <n v="88.9"/>
    <n v="65"/>
    <n v="32.5"/>
    <n v="22.5"/>
    <n v="1837"/>
    <n v="26.9"/>
    <n v="32.200000000000003"/>
    <n v="18.7"/>
    <n v="44.4"/>
    <n v="23"/>
    <n v="28.5"/>
    <n v="21.3"/>
    <n v="29.4"/>
    <n v="31.1"/>
    <n v="40.35"/>
    <n v="47.2"/>
    <n v="46.15"/>
    <n v="169"/>
    <x v="0"/>
    <s v="1 to 5"/>
    <s v="0 to 3 hours"/>
    <x v="1"/>
    <x v="1"/>
    <x v="0"/>
    <n v="2E-3"/>
  </r>
  <r>
    <n v="10"/>
    <n v="10"/>
    <n v="10"/>
    <n v="10"/>
    <n v="10"/>
    <n v="10"/>
    <n v="12"/>
    <n v="10"/>
    <n v="12"/>
    <n v="11"/>
    <n v="10"/>
    <n v="11"/>
    <n v="11"/>
    <n v="11"/>
    <n v="10"/>
    <n v="10"/>
    <n v="12"/>
    <n v="10"/>
    <n v="10"/>
    <n v="10"/>
    <n v="10"/>
    <s v="A193"/>
    <n v="0.54"/>
    <n v="30"/>
    <n v="90.9"/>
    <n v="42"/>
    <n v="27.1"/>
    <n v="16"/>
    <n v="1921"/>
    <n v="31.1"/>
    <n v="35.6"/>
    <n v="23.3"/>
    <n v="48.4"/>
    <n v="19.399999999999999"/>
    <n v="24.1"/>
    <n v="18"/>
    <n v="24.4"/>
    <n v="29.7"/>
    <n v="40.799999999999997"/>
    <n v="49.4"/>
    <n v="48.3"/>
    <n v="175"/>
    <x v="0"/>
    <s v="1 to 5"/>
    <s v="3 to 6 hours"/>
    <x v="1"/>
    <x v="0"/>
    <x v="0"/>
    <n v="0"/>
  </r>
  <r>
    <n v="10"/>
    <n v="10"/>
    <n v="19"/>
    <n v="24"/>
    <n v="37"/>
    <n v="46"/>
    <n v="47"/>
    <n v="10"/>
    <n v="17"/>
    <n v="24"/>
    <n v="34"/>
    <n v="43"/>
    <n v="44"/>
    <n v="45"/>
    <n v="14"/>
    <n v="36"/>
    <n v="48"/>
    <n v="50"/>
    <n v="53"/>
    <n v="56"/>
    <n v="56"/>
    <s v="A194"/>
    <n v="249.86"/>
    <n v="25"/>
    <n v="79"/>
    <n v="66"/>
    <n v="30.1"/>
    <n v="13"/>
    <n v="1700"/>
    <n v="28.2"/>
    <n v="34.200000000000003"/>
    <n v="20.3"/>
    <n v="45.6"/>
    <n v="20.5"/>
    <n v="26.9"/>
    <n v="18.399999999999999"/>
    <n v="27.5"/>
    <n v="24.9"/>
    <n v="41.75"/>
    <n v="49.9"/>
    <n v="50.35"/>
    <n v="178"/>
    <x v="0"/>
    <s v="1 to 5"/>
    <s v="3 to 6 hours"/>
    <x v="0"/>
    <x v="1"/>
    <x v="0"/>
    <n v="0.10299999999999999"/>
  </r>
  <r>
    <n v="10"/>
    <n v="12"/>
    <n v="13"/>
    <n v="13"/>
    <n v="19"/>
    <n v="27"/>
    <n v="31"/>
    <n v="17"/>
    <n v="23"/>
    <n v="23"/>
    <n v="27"/>
    <n v="29"/>
    <n v="29"/>
    <n v="29"/>
    <n v="17"/>
    <n v="23"/>
    <n v="25"/>
    <n v="27"/>
    <n v="33"/>
    <n v="33"/>
    <n v="33"/>
    <s v="A195"/>
    <n v="52.25"/>
    <n v="31"/>
    <n v="71.099999999999994"/>
    <n v="47"/>
    <n v="22.4"/>
    <n v="7"/>
    <n v="1625"/>
    <n v="32.5"/>
    <n v="37.799999999999997"/>
    <n v="25.7"/>
    <n v="49.8"/>
    <n v="15.2"/>
    <n v="20.9"/>
    <n v="13.3"/>
    <n v="20.8"/>
    <n v="21.9"/>
    <n v="38.200000000000003"/>
    <n v="49.35"/>
    <n v="47.95"/>
    <n v="180"/>
    <x v="0"/>
    <s v="1 to 5"/>
    <s v="3 to 6 hours"/>
    <x v="0"/>
    <x v="0"/>
    <x v="0"/>
    <n v="5.0999999999999997E-2"/>
  </r>
  <r>
    <n v="20"/>
    <n v="25"/>
    <n v="30"/>
    <n v="28"/>
    <n v="28"/>
    <n v="26"/>
    <n v="28"/>
    <n v="12"/>
    <n v="20"/>
    <n v="30"/>
    <n v="28"/>
    <n v="26"/>
    <n v="23"/>
    <n v="24"/>
    <n v="10"/>
    <n v="20"/>
    <n v="29"/>
    <n v="27"/>
    <n v="27"/>
    <n v="30"/>
    <n v="29"/>
    <s v="A196"/>
    <n v="29.8"/>
    <n v="32"/>
    <n v="71.7"/>
    <n v="43"/>
    <n v="23.8"/>
    <n v="8"/>
    <n v="1627"/>
    <n v="31.9"/>
    <n v="37.6"/>
    <n v="24.9"/>
    <n v="49.2"/>
    <n v="16.3"/>
    <n v="22.6"/>
    <n v="14.4"/>
    <n v="22.5"/>
    <n v="23.1"/>
    <n v="38.700000000000003"/>
    <n v="45.1"/>
    <n v="48.5"/>
    <n v="176"/>
    <x v="0"/>
    <s v="1 to 5"/>
    <s v="More than 9 hours"/>
    <x v="0"/>
    <x v="0"/>
    <x v="0"/>
    <n v="4.0000000000000001E-3"/>
  </r>
  <r>
    <n v="12"/>
    <n v="12"/>
    <n v="14"/>
    <n v="16"/>
    <n v="16"/>
    <n v="28"/>
    <n v="25"/>
    <n v="17"/>
    <n v="14"/>
    <n v="18"/>
    <n v="19"/>
    <n v="19"/>
    <n v="19"/>
    <n v="18"/>
    <n v="14"/>
    <n v="19"/>
    <n v="21"/>
    <n v="19"/>
    <n v="27"/>
    <n v="28"/>
    <n v="29"/>
    <s v="A197"/>
    <n v="26.75"/>
    <n v="20"/>
    <n v="54.4"/>
    <n v="61"/>
    <n v="21.2"/>
    <n v="7.5"/>
    <n v="1339"/>
    <n v="29.2"/>
    <n v="36.200000000000003"/>
    <n v="23.6"/>
    <n v="46.6"/>
    <n v="14.4"/>
    <n v="18.8"/>
    <n v="12.5"/>
    <n v="18.600000000000001"/>
    <n v="21.3"/>
    <n v="34"/>
    <n v="45.9"/>
    <n v="41.95"/>
    <n v="160"/>
    <x v="0"/>
    <s v="1 to 5"/>
    <s v="0 to 3 hours"/>
    <x v="0"/>
    <x v="1"/>
    <x v="1"/>
    <n v="2.9000000000000001E-2"/>
  </r>
  <r>
    <n v="24"/>
    <n v="16"/>
    <n v="23"/>
    <n v="18"/>
    <n v="19"/>
    <n v="20"/>
    <n v="23"/>
    <n v="13"/>
    <n v="25"/>
    <n v="26"/>
    <n v="24"/>
    <n v="26"/>
    <n v="32"/>
    <n v="30"/>
    <n v="26"/>
    <n v="32"/>
    <n v="32"/>
    <n v="30"/>
    <n v="31"/>
    <n v="37"/>
    <n v="39"/>
    <s v="A198"/>
    <n v="42.86"/>
    <n v="32"/>
    <n v="77"/>
    <n v="41"/>
    <n v="26"/>
    <n v="12"/>
    <n v="1698"/>
    <n v="30.6"/>
    <n v="36.299999999999997"/>
    <n v="23.3"/>
    <n v="48"/>
    <n v="18.2"/>
    <n v="24.5"/>
    <n v="16.5"/>
    <n v="24.6"/>
    <n v="26.3"/>
    <n v="39.25"/>
    <n v="49.25"/>
    <n v="49.25"/>
    <n v="171"/>
    <x v="0"/>
    <s v="6 to 15"/>
    <s v="3 to 6 hours"/>
    <x v="1"/>
    <x v="0"/>
    <x v="0"/>
    <n v="5.0999999999999997E-2"/>
  </r>
  <r>
    <n v="10"/>
    <n v="10"/>
    <n v="10"/>
    <n v="11"/>
    <n v="14"/>
    <n v="16"/>
    <n v="16"/>
    <n v="10"/>
    <n v="10"/>
    <n v="14"/>
    <n v="16"/>
    <n v="22"/>
    <n v="22"/>
    <n v="24"/>
    <n v="10"/>
    <n v="10"/>
    <n v="25"/>
    <n v="24"/>
    <n v="24"/>
    <n v="32"/>
    <n v="38"/>
    <s v="A199"/>
    <n v="62.92"/>
    <n v="32"/>
    <n v="74.099999999999994"/>
    <n v="40"/>
    <n v="28.2"/>
    <n v="12"/>
    <n v="1638"/>
    <n v="29.5"/>
    <n v="35.9"/>
    <n v="21.9"/>
    <n v="46.9"/>
    <n v="19.5"/>
    <n v="27.1"/>
    <n v="17.600000000000001"/>
    <n v="27.4"/>
    <n v="26.3"/>
    <n v="37.700000000000003"/>
    <n v="46.65"/>
    <n v="48.35"/>
    <n v="168"/>
    <x v="0"/>
    <s v="1 to 5"/>
    <s v="0 to 3 hours"/>
    <x v="1"/>
    <x v="0"/>
    <x v="0"/>
    <n v="5.6000000000000001E-2"/>
  </r>
  <r>
    <n v="10"/>
    <n v="10"/>
    <n v="10"/>
    <n v="11"/>
    <n v="11"/>
    <n v="12"/>
    <n v="11"/>
    <n v="11"/>
    <n v="11"/>
    <n v="11"/>
    <n v="13"/>
    <n v="14"/>
    <n v="14"/>
    <n v="14"/>
    <n v="15"/>
    <n v="15"/>
    <n v="15"/>
    <n v="17"/>
    <n v="17"/>
    <n v="18"/>
    <n v="17"/>
    <s v="A200"/>
    <n v="6.63"/>
    <n v="19"/>
    <n v="51.4"/>
    <n v="50"/>
    <n v="27.1"/>
    <n v="6.5"/>
    <n v="1274"/>
    <n v="28.1"/>
    <n v="36"/>
    <n v="21.1"/>
    <n v="45.5"/>
    <n v="18"/>
    <n v="24.5"/>
    <n v="15.7"/>
    <n v="24.8"/>
    <n v="20.9"/>
    <n v="34.200000000000003"/>
    <n v="42.85"/>
    <n v="42.95"/>
    <n v="157"/>
    <x v="0"/>
    <s v="1 to 5"/>
    <s v="6 to 9 hours"/>
    <x v="0"/>
    <x v="0"/>
    <x v="1"/>
    <n v="2.1999999999999999E-2"/>
  </r>
  <r>
    <n v="10"/>
    <n v="11"/>
    <n v="15"/>
    <n v="15"/>
    <n v="16"/>
    <n v="18"/>
    <n v="22"/>
    <n v="12"/>
    <n v="20"/>
    <n v="22"/>
    <n v="23"/>
    <n v="22"/>
    <n v="23"/>
    <n v="24"/>
    <n v="17"/>
    <n v="26"/>
    <n v="24"/>
    <n v="26"/>
    <n v="27"/>
    <n v="27"/>
    <n v="27"/>
    <s v="A201"/>
    <n v="28.7"/>
    <n v="22"/>
    <n v="70.900000000000006"/>
    <n v="60"/>
    <n v="24.5"/>
    <n v="10"/>
    <n v="1602"/>
    <n v="30.3"/>
    <n v="36.4"/>
    <n v="23.5"/>
    <n v="47.6"/>
    <n v="16.8"/>
    <n v="21.6"/>
    <n v="15"/>
    <n v="21.8"/>
    <n v="23.7"/>
    <n v="40.35"/>
    <n v="46.25"/>
    <n v="48.5"/>
    <n v="173"/>
    <x v="0"/>
    <s v="1 to 5"/>
    <s v="0 to 3 hours"/>
    <x v="0"/>
    <x v="1"/>
    <x v="0"/>
    <n v="4.2999999999999997E-2"/>
  </r>
  <r>
    <n v="10"/>
    <n v="11"/>
    <n v="12"/>
    <n v="16"/>
    <n v="24"/>
    <n v="36"/>
    <n v="39"/>
    <n v="16"/>
    <n v="20"/>
    <n v="22"/>
    <n v="28"/>
    <n v="30"/>
    <n v="32"/>
    <n v="32"/>
    <n v="16"/>
    <n v="27"/>
    <n v="29"/>
    <n v="33"/>
    <n v="37"/>
    <n v="34"/>
    <n v="33"/>
    <s v="A202"/>
    <n v="80.150000000000006"/>
    <s v="32-37"/>
    <n v="75.7"/>
    <n v="46"/>
    <n v="22.5"/>
    <n v="9"/>
    <n v="1700"/>
    <n v="32.5"/>
    <n v="37.1"/>
    <n v="25.7"/>
    <n v="49.8"/>
    <n v="15.6"/>
    <n v="20.7"/>
    <n v="13.9"/>
    <n v="20.5"/>
    <n v="23.9"/>
    <n v="40.6"/>
    <n v="49.3"/>
    <n v="47.45"/>
    <n v="178"/>
    <x v="0"/>
    <s v="1 to 5"/>
    <s v="0 to 3 hours"/>
    <x v="0"/>
    <x v="0"/>
    <x v="0"/>
    <n v="5.3999999999999999E-2"/>
  </r>
  <r>
    <n v="32"/>
    <n v="33"/>
    <n v="21"/>
    <n v="21"/>
    <n v="21"/>
    <n v="23"/>
    <n v="23"/>
    <n v="20"/>
    <n v="21"/>
    <n v="20"/>
    <n v="25"/>
    <n v="22"/>
    <n v="22"/>
    <n v="22"/>
    <n v="20"/>
    <n v="22"/>
    <n v="26"/>
    <n v="26"/>
    <n v="29"/>
    <n v="25"/>
    <n v="25"/>
    <s v="A203"/>
    <n v="13.42"/>
    <n v="18"/>
    <n v="67.5"/>
    <n v="48"/>
    <n v="32.200000000000003"/>
    <n v="7.5"/>
    <n v="1383"/>
    <n v="25.8"/>
    <n v="25.9"/>
    <n v="19"/>
    <n v="39.5"/>
    <n v="29.1"/>
    <n v="42.5"/>
    <n v="24.9"/>
    <n v="37.5"/>
    <n v="25.7"/>
    <n v="40.700000000000003"/>
    <n v="47.25"/>
    <n v="42"/>
    <n v="162"/>
    <x v="1"/>
    <s v="1 to 5"/>
    <s v="0 to 3 hours"/>
    <x v="1"/>
    <x v="0"/>
    <x v="1"/>
    <n v="-2E-3"/>
  </r>
  <r>
    <n v="10"/>
    <n v="10"/>
    <n v="10"/>
    <n v="14"/>
    <n v="15"/>
    <n v="18"/>
    <n v="17"/>
    <n v="15"/>
    <n v="17"/>
    <n v="24"/>
    <n v="31"/>
    <n v="32"/>
    <n v="35"/>
    <n v="36"/>
    <n v="33"/>
    <n v="37"/>
    <n v="37"/>
    <n v="37"/>
    <n v="39"/>
    <n v="44"/>
    <n v="44"/>
    <s v="A204"/>
    <n v="135.77000000000001"/>
    <n v="32"/>
    <n v="96.2"/>
    <n v="50"/>
    <m/>
    <m/>
    <m/>
    <m/>
    <m/>
    <m/>
    <m/>
    <m/>
    <m/>
    <m/>
    <m/>
    <m/>
    <n v="48.3"/>
    <n v="52.2"/>
    <n v="41.95"/>
    <n v="161"/>
    <x v="1"/>
    <s v="1 to 5"/>
    <s v="6 to 9 hours"/>
    <x v="1"/>
    <x v="0"/>
    <x v="1"/>
    <n v="0.10299999999999999"/>
  </r>
  <r>
    <n v="10"/>
    <n v="10"/>
    <n v="12"/>
    <n v="15"/>
    <n v="15"/>
    <n v="19"/>
    <n v="27"/>
    <n v="27"/>
    <n v="28"/>
    <n v="27"/>
    <n v="29"/>
    <n v="31"/>
    <n v="31"/>
    <n v="31"/>
    <n v="31"/>
    <n v="31"/>
    <n v="32"/>
    <n v="34"/>
    <n v="34"/>
    <n v="35"/>
    <n v="39"/>
    <s v="A205"/>
    <n v="73.989999999999995"/>
    <n v="22"/>
    <n v="53.7"/>
    <n v="65"/>
    <n v="22.1"/>
    <n v="6"/>
    <n v="1324"/>
    <n v="28.8"/>
    <n v="35.799999999999997"/>
    <n v="23.1"/>
    <n v="46.3"/>
    <n v="14.8"/>
    <n v="19.2"/>
    <n v="12.7"/>
    <n v="19.2"/>
    <n v="20.2"/>
    <n v="36.299999999999997"/>
    <n v="47.6"/>
    <n v="44.05"/>
    <n v="163"/>
    <x v="0"/>
    <s v="1 to 5"/>
    <s v="3 to 6 hours"/>
    <x v="0"/>
    <x v="1"/>
    <x v="1"/>
    <n v="7.3999999999999996E-2"/>
  </r>
  <r>
    <n v="10"/>
    <n v="10"/>
    <n v="10"/>
    <n v="12"/>
    <n v="14"/>
    <n v="14"/>
    <n v="14"/>
    <n v="10"/>
    <n v="10"/>
    <n v="11"/>
    <n v="13"/>
    <n v="15"/>
    <n v="15"/>
    <n v="15"/>
    <n v="10"/>
    <n v="10"/>
    <n v="14"/>
    <n v="15"/>
    <n v="15"/>
    <n v="15"/>
    <n v="15"/>
    <s v="A206"/>
    <n v="4.68"/>
    <s v="16-20"/>
    <n v="108"/>
    <n v="52"/>
    <n v="37.299999999999997"/>
    <n v="30"/>
    <n v="2098"/>
    <n v="25.4"/>
    <n v="31.3"/>
    <n v="16.100000000000001"/>
    <n v="42.9"/>
    <n v="27.2"/>
    <n v="35"/>
    <n v="25.9"/>
    <n v="36.1"/>
    <n v="38.700000000000003"/>
    <n v="45.85"/>
    <n v="46.9"/>
    <n v="45.2"/>
    <n v="167"/>
    <x v="0"/>
    <n v="0"/>
    <s v="More than 9 hours"/>
    <x v="1"/>
    <x v="0"/>
    <x v="0"/>
    <n v="1.0999999999999999E-2"/>
  </r>
  <r>
    <n v="10"/>
    <n v="10"/>
    <n v="10"/>
    <n v="10"/>
    <n v="14"/>
    <n v="20"/>
    <n v="20"/>
    <n v="10"/>
    <n v="10"/>
    <n v="10"/>
    <n v="14"/>
    <n v="17"/>
    <n v="21"/>
    <n v="22"/>
    <n v="16"/>
    <n v="22"/>
    <n v="26"/>
    <n v="27"/>
    <n v="34"/>
    <n v="36"/>
    <n v="36"/>
    <s v="A207"/>
    <n v="74.73"/>
    <n v="21"/>
    <n v="65.3"/>
    <n v="47"/>
    <n v="22.1"/>
    <n v="9.5"/>
    <n v="1523"/>
    <n v="31.1"/>
    <n v="37.1"/>
    <n v="24.8"/>
    <n v="48.5"/>
    <n v="15.3"/>
    <n v="20.5"/>
    <n v="13.6"/>
    <n v="20.399999999999999"/>
    <n v="23.7"/>
    <n v="37.25"/>
    <n v="43.25"/>
    <n v="42.6"/>
    <n v="166"/>
    <x v="0"/>
    <s v="1 to 5"/>
    <s v="3 to 6 hours"/>
    <x v="0"/>
    <x v="0"/>
    <x v="1"/>
    <n v="6.8000000000000005E-2"/>
  </r>
  <r>
    <n v="10"/>
    <n v="10"/>
    <n v="10"/>
    <n v="10"/>
    <n v="10"/>
    <n v="10"/>
    <n v="10"/>
    <n v="10"/>
    <n v="10"/>
    <n v="10"/>
    <n v="11"/>
    <n v="11"/>
    <n v="11"/>
    <n v="11"/>
    <n v="10"/>
    <n v="10"/>
    <n v="10"/>
    <n v="10"/>
    <n v="10"/>
    <n v="10"/>
    <n v="10"/>
    <s v="A208"/>
    <n v="0.15"/>
    <s v="28-30"/>
    <n v="59.4"/>
    <n v="54"/>
    <n v="27.4"/>
    <n v="3"/>
    <n v="1278"/>
    <n v="27.4"/>
    <n v="29.5"/>
    <n v="21.2"/>
    <n v="40"/>
    <n v="23"/>
    <n v="37.5"/>
    <n v="19.100000000000001"/>
    <n v="31.2"/>
    <n v="20.6"/>
    <n v="38.549999999999997"/>
    <n v="46.65"/>
    <n v="46.6"/>
    <n v="170"/>
    <x v="1"/>
    <n v="0"/>
    <s v="3 to 6 hours"/>
    <x v="0"/>
    <x v="1"/>
    <x v="0"/>
    <n v="0"/>
  </r>
  <r>
    <n v="10"/>
    <n v="10"/>
    <n v="10"/>
    <n v="11"/>
    <n v="16"/>
    <n v="12"/>
    <n v="11"/>
    <n v="10"/>
    <n v="13"/>
    <n v="15"/>
    <n v="15"/>
    <n v="14"/>
    <n v="14"/>
    <n v="20"/>
    <n v="16"/>
    <n v="14"/>
    <n v="18"/>
    <n v="18"/>
    <n v="30"/>
    <n v="39"/>
    <n v="36"/>
    <s v="A209"/>
    <n v="65.23"/>
    <s v="29-39"/>
    <n v="87.3"/>
    <n v="52"/>
    <n v="26.7"/>
    <n v="14.5"/>
    <n v="1863"/>
    <n v="30.9"/>
    <n v="34.9"/>
    <n v="23.3"/>
    <n v="48.2"/>
    <n v="18.8"/>
    <n v="23.4"/>
    <n v="17.2"/>
    <n v="23.7"/>
    <n v="27.6"/>
    <n v="40.450000000000003"/>
    <n v="46.4"/>
    <n v="50.35"/>
    <n v="178"/>
    <x v="0"/>
    <s v="1 to 5"/>
    <s v="3 to 6 hours"/>
    <x v="1"/>
    <x v="0"/>
    <x v="0"/>
    <n v="5.8000000000000003E-2"/>
  </r>
  <r>
    <n v="10"/>
    <n v="10"/>
    <n v="10"/>
    <n v="10"/>
    <n v="27"/>
    <n v="31"/>
    <n v="40"/>
    <n v="14"/>
    <n v="36"/>
    <n v="42"/>
    <n v="38"/>
    <n v="40"/>
    <n v="40"/>
    <n v="40"/>
    <n v="30"/>
    <n v="40"/>
    <n v="40"/>
    <n v="40"/>
    <n v="40"/>
    <n v="40"/>
    <n v="40"/>
    <s v="A210"/>
    <n v="146.32"/>
    <s v="25-28"/>
    <n v="70.900000000000006"/>
    <n v="50"/>
    <n v="27.3"/>
    <n v="11"/>
    <n v="1589"/>
    <n v="29.4"/>
    <n v="35.6"/>
    <n v="22"/>
    <n v="46.8"/>
    <n v="18.7"/>
    <n v="25.4"/>
    <n v="16.7"/>
    <n v="25.7"/>
    <n v="24.5"/>
    <n v="37.950000000000003"/>
    <n v="46.65"/>
    <n v="45.8"/>
    <n v="170"/>
    <x v="0"/>
    <s v="1 to 5"/>
    <s v="6 to 9 hours"/>
    <x v="0"/>
    <x v="0"/>
    <x v="0"/>
    <n v="8.5999999999999993E-2"/>
  </r>
  <r>
    <n v="10"/>
    <n v="10"/>
    <n v="12"/>
    <n v="16"/>
    <n v="21"/>
    <n v="24"/>
    <n v="25"/>
    <n v="18"/>
    <n v="16"/>
    <n v="19"/>
    <n v="20"/>
    <n v="22"/>
    <n v="22"/>
    <n v="22"/>
    <n v="14"/>
    <n v="20"/>
    <n v="22"/>
    <n v="22"/>
    <n v="22"/>
    <n v="22"/>
    <n v="22"/>
    <s v="A211"/>
    <n v="18.75"/>
    <n v="15"/>
    <n v="76.900000000000006"/>
    <n v="40"/>
    <n v="27.4"/>
    <n v="13"/>
    <n v="1687"/>
    <n v="29.8"/>
    <n v="35.700000000000003"/>
    <n v="22.3"/>
    <n v="47.2"/>
    <n v="19.2"/>
    <n v="26"/>
    <n v="17.5"/>
    <n v="26.2"/>
    <n v="27.2"/>
    <n v="36.25"/>
    <n v="50.4"/>
    <n v="44.9"/>
    <n v="168"/>
    <x v="0"/>
    <s v="6 to 15"/>
    <s v="6 to 9 hours"/>
    <x v="1"/>
    <x v="0"/>
    <x v="0"/>
    <n v="2.4E-2"/>
  </r>
  <r>
    <n v="10"/>
    <n v="10"/>
    <n v="10"/>
    <n v="10"/>
    <n v="12"/>
    <n v="12"/>
    <n v="10"/>
    <n v="10"/>
    <n v="10"/>
    <n v="10"/>
    <n v="12"/>
    <n v="12"/>
    <n v="10"/>
    <n v="10"/>
    <n v="10"/>
    <n v="10"/>
    <n v="10"/>
    <n v="12"/>
    <n v="12"/>
    <n v="12"/>
    <n v="12"/>
    <s v="A212"/>
    <n v="0.94"/>
    <n v="18"/>
    <n v="80.8"/>
    <n v="63"/>
    <n v="31.6"/>
    <n v="18"/>
    <n v="1716"/>
    <n v="27"/>
    <n v="33.299999999999997"/>
    <n v="19"/>
    <n v="44.5"/>
    <n v="22"/>
    <n v="28.4"/>
    <n v="20.100000000000001"/>
    <n v="29.1"/>
    <n v="28.3"/>
    <n v="39.35"/>
    <n v="48.1"/>
    <n v="46"/>
    <n v="169"/>
    <x v="0"/>
    <s v="6 to 15"/>
    <s v="6 to 9 hours"/>
    <x v="1"/>
    <x v="1"/>
    <x v="0"/>
    <n v="4.0000000000000001E-3"/>
  </r>
  <r>
    <m/>
    <m/>
    <m/>
    <m/>
    <m/>
    <m/>
    <m/>
    <m/>
    <m/>
    <m/>
    <m/>
    <m/>
    <m/>
    <m/>
    <m/>
    <m/>
    <m/>
    <m/>
    <m/>
    <m/>
    <m/>
    <m/>
    <m/>
    <m/>
    <m/>
    <m/>
    <m/>
    <m/>
    <m/>
    <m/>
    <m/>
    <m/>
    <m/>
    <m/>
    <m/>
    <m/>
    <m/>
    <m/>
    <m/>
    <m/>
    <m/>
    <m/>
    <x v="2"/>
    <m/>
    <m/>
    <x v="2"/>
    <x v="2"/>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36223E-6160-406B-9089-0630DB04E9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O14" firstHeaderRow="1" firstDataRow="3"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3">
        <item x="1"/>
        <item x="0"/>
        <item x="2"/>
      </items>
    </pivotField>
    <pivotField showAll="0"/>
    <pivotField showAll="0"/>
    <pivotField axis="axisRow" showAll="0">
      <items count="5">
        <item x="0"/>
        <item x="1"/>
        <item m="1" x="3"/>
        <item x="2"/>
        <item t="default"/>
      </items>
    </pivotField>
    <pivotField axis="axisRow" showAll="0" defaultSubtotal="0">
      <items count="7">
        <item m="1" x="6"/>
        <item m="1" x="5"/>
        <item x="2"/>
        <item m="1" x="3"/>
        <item m="1" x="4"/>
        <item x="0"/>
        <item x="1"/>
      </items>
    </pivotField>
    <pivotField axis="axisCol" showAll="0">
      <items count="6">
        <item m="1" x="3"/>
        <item m="1" x="4"/>
        <item x="2"/>
        <item x="0"/>
        <item x="1"/>
        <item t="default"/>
      </items>
    </pivotField>
    <pivotField showAll="0"/>
  </pivotFields>
  <rowFields count="2">
    <field x="46"/>
    <field x="45"/>
  </rowFields>
  <rowItems count="9">
    <i>
      <x v="2"/>
    </i>
    <i r="1">
      <x v="3"/>
    </i>
    <i>
      <x v="5"/>
    </i>
    <i r="1">
      <x/>
    </i>
    <i r="1">
      <x v="1"/>
    </i>
    <i>
      <x v="6"/>
    </i>
    <i r="1">
      <x/>
    </i>
    <i r="1">
      <x v="1"/>
    </i>
    <i t="grand">
      <x/>
    </i>
  </rowItems>
  <colFields count="2">
    <field x="42"/>
    <field x="47"/>
  </colFields>
  <colItems count="6">
    <i>
      <x/>
      <x v="3"/>
    </i>
    <i r="1">
      <x v="4"/>
    </i>
    <i>
      <x v="1"/>
      <x v="3"/>
    </i>
    <i r="1">
      <x v="4"/>
    </i>
    <i>
      <x v="2"/>
      <x v="2"/>
    </i>
    <i t="grand">
      <x/>
    </i>
  </colItems>
  <dataFields count="1">
    <dataField name="Count of subject" fld="21" subtotal="count" baseField="0" baseItem="0"/>
  </dataFields>
  <conditionalFormats count="1">
    <conditionalFormat priority="2">
      <pivotAreas count="4">
        <pivotArea type="data" collapsedLevelsAreSubtotals="1" fieldPosition="0">
          <references count="4">
            <reference field="4294967294" count="1" selected="0">
              <x v="0"/>
            </reference>
            <reference field="42" count="2" selected="0">
              <x v="0"/>
              <x v="1"/>
            </reference>
            <reference field="46" count="1">
              <x v="0"/>
            </reference>
            <reference field="47" count="2" selected="0">
              <x v="0"/>
              <x v="1"/>
            </reference>
          </references>
        </pivotArea>
        <pivotArea type="data" collapsedLevelsAreSubtotals="1" fieldPosition="0">
          <references count="5">
            <reference field="4294967294" count="1" selected="0">
              <x v="0"/>
            </reference>
            <reference field="42" count="2" selected="0">
              <x v="0"/>
              <x v="1"/>
            </reference>
            <reference field="45" count="3">
              <x v="0"/>
              <x v="1"/>
              <x v="2"/>
            </reference>
            <reference field="46" count="1" selected="0">
              <x v="0"/>
            </reference>
            <reference field="47" count="2" selected="0">
              <x v="0"/>
              <x v="1"/>
            </reference>
          </references>
        </pivotArea>
        <pivotArea type="data" collapsedLevelsAreSubtotals="1" fieldPosition="0">
          <references count="4">
            <reference field="4294967294" count="1" selected="0">
              <x v="0"/>
            </reference>
            <reference field="42" count="2" selected="0">
              <x v="0"/>
              <x v="1"/>
            </reference>
            <reference field="46" count="1">
              <x v="1"/>
            </reference>
            <reference field="47" count="2" selected="0">
              <x v="0"/>
              <x v="1"/>
            </reference>
          </references>
        </pivotArea>
        <pivotArea type="data" collapsedLevelsAreSubtotals="1" fieldPosition="0">
          <references count="5">
            <reference field="4294967294" count="1" selected="0">
              <x v="0"/>
            </reference>
            <reference field="42" count="2" selected="0">
              <x v="0"/>
              <x v="1"/>
            </reference>
            <reference field="45" count="2">
              <x v="0"/>
              <x v="1"/>
            </reference>
            <reference field="46" count="1" selected="0">
              <x v="1"/>
            </reference>
            <reference field="47"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5C614-0450-41CB-8C4B-4DBF3DE67B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E24" firstHeaderRow="1" firstDataRow="2"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axis="axisRow" showAll="0" defaultSubtotal="0">
      <items count="7">
        <item m="1" x="6"/>
        <item m="1" x="5"/>
        <item x="2"/>
        <item m="1" x="3"/>
        <item m="1" x="4"/>
        <item x="0"/>
        <item x="1"/>
      </items>
    </pivotField>
    <pivotField axis="axisRow" showAll="0">
      <items count="6">
        <item m="1" x="3"/>
        <item m="1" x="4"/>
        <item x="2"/>
        <item x="0"/>
        <item x="1"/>
        <item t="default"/>
      </items>
    </pivotField>
    <pivotField showAll="0"/>
  </pivotFields>
  <rowFields count="2">
    <field x="46"/>
    <field x="47"/>
  </rowFields>
  <rowItems count="9">
    <i>
      <x v="2"/>
    </i>
    <i r="1">
      <x v="2"/>
    </i>
    <i>
      <x v="5"/>
    </i>
    <i r="1">
      <x v="3"/>
    </i>
    <i r="1">
      <x v="4"/>
    </i>
    <i>
      <x v="6"/>
    </i>
    <i r="1">
      <x v="3"/>
    </i>
    <i r="1">
      <x v="4"/>
    </i>
    <i t="grand">
      <x/>
    </i>
  </rowItems>
  <colFields count="1">
    <field x="42"/>
  </colFields>
  <colItems count="4">
    <i>
      <x/>
    </i>
    <i>
      <x v="1"/>
    </i>
    <i>
      <x v="2"/>
    </i>
    <i t="grand">
      <x/>
    </i>
  </colItems>
  <dataFields count="1">
    <dataField name="Count of subject" fld="21" subtotal="count" baseField="0" baseItem="0"/>
  </dataFields>
  <conditionalFormats count="2">
    <conditionalFormat priority="3">
      <pivotAreas count="5">
        <pivotArea type="data" collapsedLevelsAreSubtotals="1" fieldPosition="0">
          <references count="3">
            <reference field="4294967294" count="1" selected="0">
              <x v="0"/>
            </reference>
            <reference field="42" count="2" selected="0">
              <x v="0"/>
              <x v="1"/>
            </reference>
            <reference field="46" count="1">
              <x v="0"/>
            </reference>
          </references>
        </pivotArea>
        <pivotArea type="data" collapsedLevelsAreSubtotals="1" fieldPosition="0">
          <references count="4">
            <reference field="4294967294" count="1" selected="0">
              <x v="0"/>
            </reference>
            <reference field="42" count="2" selected="0">
              <x v="0"/>
              <x v="1"/>
            </reference>
            <reference field="46" count="1" selected="0">
              <x v="0"/>
            </reference>
            <reference field="47" count="2">
              <x v="0"/>
              <x v="1"/>
            </reference>
          </references>
        </pivotArea>
        <pivotArea type="data" collapsedLevelsAreSubtotals="1" fieldPosition="0">
          <references count="3">
            <reference field="4294967294" count="1" selected="0">
              <x v="0"/>
            </reference>
            <reference field="42" count="2" selected="0">
              <x v="0"/>
              <x v="1"/>
            </reference>
            <reference field="46" count="1">
              <x v="1"/>
            </reference>
          </references>
        </pivotArea>
        <pivotArea type="data" collapsedLevelsAreSubtotals="1" fieldPosition="0">
          <references count="4">
            <reference field="4294967294" count="1" selected="0">
              <x v="0"/>
            </reference>
            <reference field="42" count="2" selected="0">
              <x v="0"/>
              <x v="1"/>
            </reference>
            <reference field="46" count="1" selected="0">
              <x v="1"/>
            </reference>
            <reference field="47" count="2">
              <x v="0"/>
              <x v="1"/>
            </reference>
          </references>
        </pivotArea>
        <pivotArea type="data" collapsedLevelsAreSubtotals="1" fieldPosition="0">
          <references count="3">
            <reference field="4294967294" count="1" selected="0">
              <x v="0"/>
            </reference>
            <reference field="42" count="2" selected="0">
              <x v="0"/>
              <x v="1"/>
            </reference>
            <reference field="46" count="1">
              <x v="2"/>
            </reference>
          </references>
        </pivotArea>
      </pivotAreas>
    </conditionalFormat>
    <conditionalFormat priority="1">
      <pivotAreas count="3">
        <pivotArea type="data" collapsedLevelsAreSubtotals="1" fieldPosition="0">
          <references count="3">
            <reference field="4294967294" count="1" selected="0">
              <x v="0"/>
            </reference>
            <reference field="46" count="1" selected="0">
              <x v="3"/>
            </reference>
            <reference field="47" count="2">
              <x v="0"/>
              <x v="1"/>
            </reference>
          </references>
        </pivotArea>
        <pivotArea type="data" collapsedLevelsAreSubtotals="1" fieldPosition="0">
          <references count="2">
            <reference field="4294967294" count="1" selected="0">
              <x v="0"/>
            </reference>
            <reference field="46" count="1">
              <x v="4"/>
            </reference>
          </references>
        </pivotArea>
        <pivotArea type="data" collapsedLevelsAreSubtotals="1" fieldPosition="0">
          <references count="3">
            <reference field="4294967294" count="1" selected="0">
              <x v="0"/>
            </reference>
            <reference field="46" count="1" selected="0">
              <x v="4"/>
            </reference>
            <reference field="47" count="2">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334943-1BE5-4372-BE66-43C973D59E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3">
        <item x="1"/>
        <item x="0"/>
        <item x="2"/>
      </items>
    </pivotField>
    <pivotField showAll="0"/>
    <pivotField showAll="0"/>
    <pivotField axis="axisRow" showAll="0">
      <items count="5">
        <item x="0"/>
        <item x="1"/>
        <item m="1" x="3"/>
        <item x="2"/>
        <item t="default"/>
      </items>
    </pivotField>
    <pivotField showAll="0"/>
    <pivotField showAll="0"/>
    <pivotField showAll="0"/>
  </pivotFields>
  <rowFields count="1">
    <field x="45"/>
  </rowFields>
  <rowItems count="4">
    <i>
      <x/>
    </i>
    <i>
      <x v="1"/>
    </i>
    <i>
      <x v="3"/>
    </i>
    <i t="grand">
      <x/>
    </i>
  </rowItems>
  <colFields count="1">
    <field x="42"/>
  </colFields>
  <colItems count="4">
    <i>
      <x/>
    </i>
    <i>
      <x v="1"/>
    </i>
    <i>
      <x v="2"/>
    </i>
    <i t="grand">
      <x/>
    </i>
  </colItems>
  <dataFields count="1">
    <dataField name="Count of subject" fld="21" subtotal="count" baseField="0" baseItem="0"/>
  </dataFields>
  <conditionalFormats count="1">
    <conditionalFormat priority="4">
      <pivotAreas count="1">
        <pivotArea type="data" collapsedLevelsAreSubtotals="1" fieldPosition="0">
          <references count="3">
            <reference field="4294967294" count="1" selected="0">
              <x v="0"/>
            </reference>
            <reference field="42" count="2" selected="0">
              <x v="0"/>
              <x v="1"/>
            </reference>
            <reference field="45"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774D1-8DA8-4D8F-88B5-6FCEF6CF4083}">
  <dimension ref="A1:BF209"/>
  <sheetViews>
    <sheetView tabSelected="1" topLeftCell="W1" zoomScaleNormal="100" workbookViewId="0">
      <pane ySplit="1" topLeftCell="A2" activePane="bottomLeft" state="frozen"/>
      <selection pane="bottomLeft" activeCell="W1" sqref="W1"/>
    </sheetView>
  </sheetViews>
  <sheetFormatPr defaultRowHeight="14.5" x14ac:dyDescent="0.35"/>
  <cols>
    <col min="1" max="1" width="6.36328125" customWidth="1"/>
    <col min="2" max="9" width="6.453125" bestFit="1" customWidth="1"/>
    <col min="10" max="21" width="7.453125" bestFit="1" customWidth="1"/>
    <col min="22" max="22" width="9" customWidth="1"/>
    <col min="23" max="23" width="8.36328125" style="16" customWidth="1"/>
    <col min="24" max="24" width="11.6328125" style="16" customWidth="1"/>
    <col min="25" max="25" width="11.08984375" style="17" customWidth="1"/>
    <col min="26" max="29" width="8.7265625" style="17" customWidth="1"/>
    <col min="30" max="42" width="8.7265625" hidden="1" customWidth="1"/>
    <col min="43" max="43" width="15.26953125" hidden="1" customWidth="1"/>
    <col min="44" max="44" width="6.81640625" hidden="1" customWidth="1"/>
    <col min="45" max="45" width="12.36328125" hidden="1" customWidth="1"/>
    <col min="46" max="46" width="9.08984375" style="17" bestFit="1" customWidth="1"/>
    <col min="47" max="47" width="11.1796875" style="17" bestFit="1" customWidth="1"/>
    <col min="48" max="50" width="7.26953125" style="17" customWidth="1"/>
    <col min="51" max="51" width="9.6328125" style="17" customWidth="1"/>
    <col min="52" max="54" width="8.7265625" style="17"/>
    <col min="55" max="55" width="12.26953125" style="17" bestFit="1" customWidth="1"/>
    <col min="56" max="56" width="12.453125" style="17" bestFit="1" customWidth="1"/>
    <col min="57" max="16384" width="8.7265625" style="17"/>
  </cols>
  <sheetData>
    <row r="1" spans="1:58" s="5" customFormat="1"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21</v>
      </c>
      <c r="V1" s="5" t="s">
        <v>335</v>
      </c>
      <c r="W1" s="6" t="s">
        <v>20</v>
      </c>
      <c r="X1" s="12" t="s">
        <v>337</v>
      </c>
      <c r="Y1" s="5" t="s">
        <v>226</v>
      </c>
      <c r="Z1" s="5" t="s">
        <v>22</v>
      </c>
      <c r="AA1" s="5" t="s">
        <v>23</v>
      </c>
      <c r="AB1" s="5" t="s">
        <v>24</v>
      </c>
      <c r="AC1" s="5" t="s">
        <v>25</v>
      </c>
      <c r="AD1" s="5" t="s">
        <v>26</v>
      </c>
      <c r="AE1" s="5" t="s">
        <v>27</v>
      </c>
      <c r="AF1" s="5" t="s">
        <v>28</v>
      </c>
      <c r="AG1" s="5" t="s">
        <v>29</v>
      </c>
      <c r="AH1" s="5" t="s">
        <v>30</v>
      </c>
      <c r="AI1" s="5" t="s">
        <v>31</v>
      </c>
      <c r="AJ1" s="5" t="s">
        <v>32</v>
      </c>
      <c r="AK1" s="5" t="s">
        <v>33</v>
      </c>
      <c r="AL1" s="5" t="s">
        <v>34</v>
      </c>
      <c r="AM1" s="5" t="s">
        <v>35</v>
      </c>
      <c r="AN1" s="5" t="s">
        <v>36</v>
      </c>
      <c r="AO1" s="5" t="s">
        <v>37</v>
      </c>
      <c r="AP1" s="5" t="s">
        <v>38</v>
      </c>
      <c r="AQ1" s="5" t="s">
        <v>39</v>
      </c>
      <c r="AR1" s="5" t="s">
        <v>40</v>
      </c>
      <c r="AS1" s="5" t="s">
        <v>41</v>
      </c>
      <c r="AT1" s="5" t="s">
        <v>310</v>
      </c>
      <c r="AU1" s="5" t="s">
        <v>311</v>
      </c>
      <c r="AV1" s="5" t="s">
        <v>42</v>
      </c>
      <c r="AW1" s="5" t="s">
        <v>43</v>
      </c>
      <c r="AX1" s="5" t="s">
        <v>44</v>
      </c>
      <c r="AY1" s="5" t="s">
        <v>105</v>
      </c>
      <c r="AZ1" s="5" t="s">
        <v>104</v>
      </c>
      <c r="BA1" s="5" t="s">
        <v>119</v>
      </c>
      <c r="BB1" s="5" t="s">
        <v>120</v>
      </c>
      <c r="BC1" s="5" t="s">
        <v>312</v>
      </c>
      <c r="BD1" t="s">
        <v>336</v>
      </c>
      <c r="BE1" s="5" t="s">
        <v>313</v>
      </c>
      <c r="BF1" s="5" t="s">
        <v>314</v>
      </c>
    </row>
    <row r="2" spans="1:58" customFormat="1" x14ac:dyDescent="0.35">
      <c r="A2">
        <v>10</v>
      </c>
      <c r="B2">
        <v>10</v>
      </c>
      <c r="C2">
        <v>10</v>
      </c>
      <c r="D2">
        <v>10</v>
      </c>
      <c r="E2">
        <v>11</v>
      </c>
      <c r="F2">
        <v>11</v>
      </c>
      <c r="G2">
        <v>11</v>
      </c>
      <c r="H2">
        <v>10</v>
      </c>
      <c r="I2">
        <v>12</v>
      </c>
      <c r="J2">
        <v>12</v>
      </c>
      <c r="K2">
        <v>13</v>
      </c>
      <c r="L2">
        <v>15</v>
      </c>
      <c r="M2">
        <v>13</v>
      </c>
      <c r="N2">
        <v>13</v>
      </c>
      <c r="O2">
        <v>12</v>
      </c>
      <c r="P2">
        <v>16</v>
      </c>
      <c r="Q2">
        <v>12</v>
      </c>
      <c r="R2">
        <v>15</v>
      </c>
      <c r="S2">
        <v>18</v>
      </c>
      <c r="T2">
        <v>17</v>
      </c>
      <c r="U2">
        <v>20</v>
      </c>
      <c r="V2">
        <f>MAX(A2:U2)</f>
        <v>20</v>
      </c>
      <c r="W2" s="4" t="s">
        <v>45</v>
      </c>
      <c r="X2">
        <v>0.25322210713359239</v>
      </c>
      <c r="Y2">
        <v>7.99</v>
      </c>
      <c r="Z2">
        <v>29</v>
      </c>
      <c r="AA2">
        <v>80</v>
      </c>
      <c r="AB2">
        <v>43</v>
      </c>
      <c r="AC2">
        <v>19.3</v>
      </c>
      <c r="AD2">
        <v>8</v>
      </c>
      <c r="AE2">
        <v>1798</v>
      </c>
      <c r="AF2">
        <v>35</v>
      </c>
      <c r="AG2">
        <v>38.299999999999997</v>
      </c>
      <c r="AH2">
        <v>28.5</v>
      </c>
      <c r="AI2">
        <v>52.2</v>
      </c>
      <c r="AJ2">
        <v>13.6</v>
      </c>
      <c r="AK2">
        <v>17.5</v>
      </c>
      <c r="AL2">
        <v>12</v>
      </c>
      <c r="AM2">
        <v>17.100000000000001</v>
      </c>
      <c r="AN2">
        <v>23.4</v>
      </c>
      <c r="AO2">
        <v>41.2</v>
      </c>
      <c r="AP2">
        <v>49.5</v>
      </c>
      <c r="AQ2">
        <v>53.6</v>
      </c>
      <c r="AR2">
        <v>185</v>
      </c>
      <c r="AS2" t="s">
        <v>46</v>
      </c>
      <c r="AT2" t="s">
        <v>315</v>
      </c>
      <c r="AU2" t="s">
        <v>316</v>
      </c>
      <c r="AV2" t="s">
        <v>47</v>
      </c>
      <c r="AW2" t="s">
        <v>317</v>
      </c>
      <c r="AX2" t="s">
        <v>318</v>
      </c>
      <c r="AY2">
        <v>2.1999999999999999E-2</v>
      </c>
      <c r="AZ2">
        <v>8.7520000000000007</v>
      </c>
      <c r="BA2">
        <v>0.75783999999999996</v>
      </c>
      <c r="BB2">
        <v>1.39106</v>
      </c>
      <c r="BC2">
        <v>1.3199999999999901</v>
      </c>
      <c r="BD2">
        <v>1.7862818226041799</v>
      </c>
      <c r="BE2" t="s">
        <v>319</v>
      </c>
      <c r="BF2" t="s">
        <v>320</v>
      </c>
    </row>
    <row r="3" spans="1:58" customFormat="1" x14ac:dyDescent="0.35">
      <c r="A3">
        <v>10</v>
      </c>
      <c r="B3">
        <v>10</v>
      </c>
      <c r="C3">
        <v>10</v>
      </c>
      <c r="D3">
        <v>10</v>
      </c>
      <c r="E3">
        <v>10</v>
      </c>
      <c r="F3">
        <v>10</v>
      </c>
      <c r="G3">
        <v>12</v>
      </c>
      <c r="H3">
        <v>10</v>
      </c>
      <c r="I3">
        <v>12</v>
      </c>
      <c r="J3">
        <v>13</v>
      </c>
      <c r="K3">
        <v>14</v>
      </c>
      <c r="L3">
        <v>13</v>
      </c>
      <c r="M3">
        <v>15</v>
      </c>
      <c r="N3">
        <v>13</v>
      </c>
      <c r="O3">
        <v>12</v>
      </c>
      <c r="P3">
        <v>12</v>
      </c>
      <c r="Q3">
        <v>14</v>
      </c>
      <c r="R3">
        <v>14</v>
      </c>
      <c r="S3">
        <v>16</v>
      </c>
      <c r="T3">
        <v>14</v>
      </c>
      <c r="U3">
        <v>15</v>
      </c>
      <c r="V3">
        <f>MAX(A3:U3)</f>
        <v>16</v>
      </c>
      <c r="W3" s="4" t="s">
        <v>48</v>
      </c>
      <c r="X3">
        <v>8.926090016775216E-3</v>
      </c>
      <c r="Y3">
        <v>3.75</v>
      </c>
      <c r="Z3">
        <v>32</v>
      </c>
      <c r="AA3">
        <v>75.7</v>
      </c>
      <c r="AB3">
        <v>44</v>
      </c>
      <c r="AC3">
        <v>14.9</v>
      </c>
      <c r="AD3">
        <v>6</v>
      </c>
      <c r="AE3">
        <v>1754</v>
      </c>
      <c r="AF3">
        <v>37.200000000000003</v>
      </c>
      <c r="AG3">
        <v>40</v>
      </c>
      <c r="AH3">
        <v>31.4</v>
      </c>
      <c r="AI3">
        <v>54.3</v>
      </c>
      <c r="AJ3">
        <v>10.6</v>
      </c>
      <c r="AK3">
        <v>13.4</v>
      </c>
      <c r="AL3">
        <v>9.3000000000000007</v>
      </c>
      <c r="AM3">
        <v>12.7</v>
      </c>
      <c r="AN3">
        <v>22.1</v>
      </c>
      <c r="AO3">
        <v>40.1</v>
      </c>
      <c r="AP3">
        <v>47</v>
      </c>
      <c r="AQ3">
        <v>50.5</v>
      </c>
      <c r="AR3">
        <v>185</v>
      </c>
      <c r="AS3" t="s">
        <v>46</v>
      </c>
      <c r="AT3" t="s">
        <v>315</v>
      </c>
      <c r="AU3" t="s">
        <v>321</v>
      </c>
      <c r="AV3" t="s">
        <v>47</v>
      </c>
      <c r="AW3" t="s">
        <v>317</v>
      </c>
      <c r="AX3" t="s">
        <v>318</v>
      </c>
      <c r="AY3">
        <v>1.4999999999999999E-2</v>
      </c>
      <c r="AZ3">
        <v>9.5150000000000006</v>
      </c>
      <c r="BA3">
        <v>0.74473</v>
      </c>
      <c r="BB3">
        <v>0.97787999999999997</v>
      </c>
      <c r="BC3">
        <v>0.89999999999999902</v>
      </c>
      <c r="BD3">
        <v>0.80752391762607401</v>
      </c>
      <c r="BE3" t="s">
        <v>319</v>
      </c>
      <c r="BF3" t="s">
        <v>320</v>
      </c>
    </row>
    <row r="4" spans="1:58" customFormat="1" x14ac:dyDescent="0.35">
      <c r="A4">
        <v>26</v>
      </c>
      <c r="B4">
        <v>33</v>
      </c>
      <c r="C4">
        <v>30</v>
      </c>
      <c r="D4">
        <v>30</v>
      </c>
      <c r="E4">
        <v>31</v>
      </c>
      <c r="F4">
        <v>31</v>
      </c>
      <c r="G4">
        <v>31</v>
      </c>
      <c r="H4">
        <v>14</v>
      </c>
      <c r="I4">
        <v>17</v>
      </c>
      <c r="J4">
        <v>19</v>
      </c>
      <c r="K4">
        <v>21</v>
      </c>
      <c r="L4">
        <v>29</v>
      </c>
      <c r="M4">
        <v>33</v>
      </c>
      <c r="N4">
        <v>25</v>
      </c>
      <c r="O4">
        <v>23</v>
      </c>
      <c r="P4">
        <v>25</v>
      </c>
      <c r="Q4">
        <v>31</v>
      </c>
      <c r="R4">
        <v>33</v>
      </c>
      <c r="S4">
        <v>30</v>
      </c>
      <c r="T4">
        <v>27</v>
      </c>
      <c r="U4">
        <v>29</v>
      </c>
      <c r="V4">
        <f>MAX(A4:U4)</f>
        <v>33</v>
      </c>
      <c r="W4" s="4" t="s">
        <v>50</v>
      </c>
      <c r="X4" s="13">
        <v>0.49800867091612883</v>
      </c>
      <c r="Y4">
        <v>28.62</v>
      </c>
      <c r="Z4">
        <v>32</v>
      </c>
      <c r="AA4">
        <v>57.6</v>
      </c>
      <c r="AB4">
        <v>50</v>
      </c>
      <c r="AC4">
        <v>30.7</v>
      </c>
      <c r="AD4">
        <v>4</v>
      </c>
      <c r="AE4">
        <v>1232</v>
      </c>
      <c r="AF4">
        <v>25.5</v>
      </c>
      <c r="AG4">
        <v>27.6</v>
      </c>
      <c r="AH4">
        <v>19.8</v>
      </c>
      <c r="AI4">
        <v>37.6</v>
      </c>
      <c r="AJ4">
        <v>25</v>
      </c>
      <c r="AK4">
        <v>41.8</v>
      </c>
      <c r="AL4">
        <v>21.6</v>
      </c>
      <c r="AM4">
        <v>35.1</v>
      </c>
      <c r="AN4">
        <v>21.2</v>
      </c>
      <c r="AO4">
        <v>41.35</v>
      </c>
      <c r="AP4">
        <v>45.45</v>
      </c>
      <c r="AQ4">
        <v>45.85</v>
      </c>
      <c r="AR4">
        <v>165</v>
      </c>
      <c r="AS4" t="s">
        <v>49</v>
      </c>
      <c r="AT4">
        <v>0</v>
      </c>
      <c r="AU4" t="s">
        <v>322</v>
      </c>
      <c r="AV4" t="s">
        <v>47</v>
      </c>
      <c r="AW4" t="s">
        <v>317</v>
      </c>
      <c r="AX4" t="s">
        <v>323</v>
      </c>
      <c r="AY4">
        <v>2E-3</v>
      </c>
      <c r="AZ4">
        <v>26.747</v>
      </c>
      <c r="BA4">
        <v>1.1100000000000001E-3</v>
      </c>
      <c r="BB4">
        <v>5.3464999999999998</v>
      </c>
      <c r="BC4">
        <v>0.12</v>
      </c>
      <c r="BD4" s="7">
        <v>3.4402464731636102</v>
      </c>
      <c r="BE4" t="s">
        <v>319</v>
      </c>
      <c r="BF4" t="s">
        <v>320</v>
      </c>
    </row>
    <row r="5" spans="1:58" customFormat="1" x14ac:dyDescent="0.35">
      <c r="A5">
        <v>13</v>
      </c>
      <c r="B5">
        <v>12</v>
      </c>
      <c r="C5">
        <v>12</v>
      </c>
      <c r="D5">
        <v>16</v>
      </c>
      <c r="E5">
        <v>19</v>
      </c>
      <c r="F5">
        <v>27</v>
      </c>
      <c r="G5">
        <v>29</v>
      </c>
      <c r="H5">
        <v>27</v>
      </c>
      <c r="I5">
        <v>30</v>
      </c>
      <c r="J5">
        <v>31</v>
      </c>
      <c r="K5">
        <v>31</v>
      </c>
      <c r="L5">
        <v>30</v>
      </c>
      <c r="M5">
        <v>31</v>
      </c>
      <c r="N5">
        <v>31</v>
      </c>
      <c r="O5">
        <v>28</v>
      </c>
      <c r="P5">
        <v>32</v>
      </c>
      <c r="Q5">
        <v>33</v>
      </c>
      <c r="R5">
        <v>33</v>
      </c>
      <c r="S5">
        <v>33</v>
      </c>
      <c r="T5">
        <v>33</v>
      </c>
      <c r="U5">
        <v>33</v>
      </c>
      <c r="V5">
        <f>MAX(A5:U5)</f>
        <v>33</v>
      </c>
      <c r="W5" s="4" t="s">
        <v>51</v>
      </c>
      <c r="X5">
        <v>8.2400474639428546E-9</v>
      </c>
      <c r="Y5">
        <v>53.46</v>
      </c>
      <c r="Z5">
        <v>24</v>
      </c>
      <c r="AA5">
        <v>70.099999999999994</v>
      </c>
      <c r="AB5">
        <v>50</v>
      </c>
      <c r="AC5">
        <v>34.5</v>
      </c>
      <c r="AD5">
        <v>9</v>
      </c>
      <c r="AE5">
        <v>1410</v>
      </c>
      <c r="AF5">
        <v>24.7</v>
      </c>
      <c r="AG5">
        <v>24</v>
      </c>
      <c r="AH5">
        <v>18</v>
      </c>
      <c r="AI5">
        <v>38.4</v>
      </c>
      <c r="AJ5">
        <v>31.2</v>
      </c>
      <c r="AK5">
        <v>45.4</v>
      </c>
      <c r="AL5">
        <v>27</v>
      </c>
      <c r="AM5">
        <v>40.5</v>
      </c>
      <c r="AN5">
        <v>27</v>
      </c>
      <c r="AO5">
        <v>42.65</v>
      </c>
      <c r="AP5">
        <v>45.65</v>
      </c>
      <c r="AQ5">
        <v>42.55</v>
      </c>
      <c r="AR5">
        <v>161</v>
      </c>
      <c r="AS5" t="s">
        <v>49</v>
      </c>
      <c r="AT5" t="s">
        <v>315</v>
      </c>
      <c r="AU5" t="s">
        <v>316</v>
      </c>
      <c r="AV5" t="s">
        <v>52</v>
      </c>
      <c r="AW5" t="s">
        <v>317</v>
      </c>
      <c r="AX5" t="s">
        <v>323</v>
      </c>
      <c r="AY5">
        <v>5.7000000000000002E-2</v>
      </c>
      <c r="AZ5">
        <v>16.282</v>
      </c>
      <c r="BA5">
        <v>0.73453999999999997</v>
      </c>
      <c r="BB5">
        <v>3.76702</v>
      </c>
      <c r="BC5">
        <v>3.42</v>
      </c>
      <c r="BD5">
        <v>1.1480460515647799</v>
      </c>
      <c r="BE5" t="s">
        <v>319</v>
      </c>
      <c r="BF5" t="s">
        <v>324</v>
      </c>
    </row>
    <row r="6" spans="1:58" customFormat="1" x14ac:dyDescent="0.35">
      <c r="A6">
        <v>28</v>
      </c>
      <c r="B6">
        <v>24</v>
      </c>
      <c r="C6">
        <v>26</v>
      </c>
      <c r="D6">
        <v>29</v>
      </c>
      <c r="E6">
        <v>32</v>
      </c>
      <c r="F6">
        <v>30</v>
      </c>
      <c r="G6">
        <v>27</v>
      </c>
      <c r="H6">
        <v>22</v>
      </c>
      <c r="I6">
        <v>27</v>
      </c>
      <c r="J6">
        <v>28</v>
      </c>
      <c r="K6">
        <v>32</v>
      </c>
      <c r="L6">
        <v>29</v>
      </c>
      <c r="M6">
        <v>28</v>
      </c>
      <c r="N6">
        <v>27</v>
      </c>
      <c r="O6">
        <v>22</v>
      </c>
      <c r="P6">
        <v>27</v>
      </c>
      <c r="Q6">
        <v>28</v>
      </c>
      <c r="R6">
        <v>27</v>
      </c>
      <c r="S6">
        <v>32</v>
      </c>
      <c r="T6">
        <v>31</v>
      </c>
      <c r="U6">
        <v>32</v>
      </c>
      <c r="V6">
        <f>MAX(A6:U6)</f>
        <v>32</v>
      </c>
      <c r="W6" s="4" t="s">
        <v>53</v>
      </c>
      <c r="X6" s="13">
        <v>0.1083739724740483</v>
      </c>
      <c r="Y6">
        <v>8.3800000000000008</v>
      </c>
      <c r="Z6">
        <v>17</v>
      </c>
      <c r="AA6">
        <v>64</v>
      </c>
      <c r="AB6">
        <v>53</v>
      </c>
      <c r="AC6">
        <v>34.299999999999997</v>
      </c>
      <c r="AD6">
        <v>7.5</v>
      </c>
      <c r="AE6">
        <v>1314</v>
      </c>
      <c r="AF6">
        <v>24.1</v>
      </c>
      <c r="AG6">
        <v>24.6</v>
      </c>
      <c r="AH6">
        <v>17.899999999999999</v>
      </c>
      <c r="AI6">
        <v>37.1</v>
      </c>
      <c r="AJ6">
        <v>29.6</v>
      </c>
      <c r="AK6">
        <v>45.4</v>
      </c>
      <c r="AL6">
        <v>25.9</v>
      </c>
      <c r="AM6">
        <v>39.4</v>
      </c>
      <c r="AN6">
        <v>25</v>
      </c>
      <c r="AO6">
        <v>40.799999999999997</v>
      </c>
      <c r="AP6">
        <v>45</v>
      </c>
      <c r="AQ6">
        <v>43.75</v>
      </c>
      <c r="AR6">
        <v>160</v>
      </c>
      <c r="AS6" t="s">
        <v>49</v>
      </c>
      <c r="AT6" t="s">
        <v>315</v>
      </c>
      <c r="AU6" t="s">
        <v>325</v>
      </c>
      <c r="AV6" t="s">
        <v>52</v>
      </c>
      <c r="AW6" t="s">
        <v>326</v>
      </c>
      <c r="AX6" t="s">
        <v>323</v>
      </c>
      <c r="AY6">
        <v>7.0000000000000001E-3</v>
      </c>
      <c r="AZ6">
        <v>26.625</v>
      </c>
      <c r="BA6">
        <v>7.9159999999999994E-2</v>
      </c>
      <c r="BB6">
        <v>2.7780499999999999</v>
      </c>
      <c r="BC6">
        <v>0.42</v>
      </c>
      <c r="BD6">
        <v>1.2258796821793401</v>
      </c>
      <c r="BE6" t="s">
        <v>319</v>
      </c>
      <c r="BF6" t="s">
        <v>320</v>
      </c>
    </row>
    <row r="7" spans="1:58" customFormat="1" x14ac:dyDescent="0.35">
      <c r="A7">
        <v>10</v>
      </c>
      <c r="B7">
        <v>10</v>
      </c>
      <c r="C7">
        <v>10</v>
      </c>
      <c r="D7">
        <v>10</v>
      </c>
      <c r="E7">
        <v>11</v>
      </c>
      <c r="F7">
        <v>11</v>
      </c>
      <c r="G7">
        <v>11</v>
      </c>
      <c r="H7">
        <v>10</v>
      </c>
      <c r="I7">
        <v>10</v>
      </c>
      <c r="J7">
        <v>11</v>
      </c>
      <c r="K7">
        <v>12</v>
      </c>
      <c r="L7">
        <v>12</v>
      </c>
      <c r="M7">
        <v>15</v>
      </c>
      <c r="N7">
        <v>13</v>
      </c>
      <c r="O7">
        <v>12</v>
      </c>
      <c r="P7">
        <v>12</v>
      </c>
      <c r="Q7">
        <v>14</v>
      </c>
      <c r="R7">
        <v>14</v>
      </c>
      <c r="S7">
        <v>15</v>
      </c>
      <c r="T7">
        <v>14</v>
      </c>
      <c r="U7">
        <v>15</v>
      </c>
      <c r="V7">
        <f>MAX(A7:U7)</f>
        <v>15</v>
      </c>
      <c r="W7" s="4" t="s">
        <v>54</v>
      </c>
      <c r="X7">
        <v>5.1986598704745722E-2</v>
      </c>
      <c r="Y7">
        <v>3.24</v>
      </c>
      <c r="Z7">
        <v>30</v>
      </c>
      <c r="AA7">
        <v>81.7</v>
      </c>
      <c r="AB7">
        <v>41</v>
      </c>
      <c r="AC7">
        <v>29.1</v>
      </c>
      <c r="AD7">
        <v>15</v>
      </c>
      <c r="AE7">
        <v>1753</v>
      </c>
      <c r="AF7">
        <v>29.2</v>
      </c>
      <c r="AG7">
        <v>35.1</v>
      </c>
      <c r="AH7">
        <v>21.3</v>
      </c>
      <c r="AI7">
        <v>46.6</v>
      </c>
      <c r="AJ7">
        <v>20.5</v>
      </c>
      <c r="AK7">
        <v>27.7</v>
      </c>
      <c r="AL7">
        <v>18.8</v>
      </c>
      <c r="AM7">
        <v>28.1</v>
      </c>
      <c r="AN7">
        <v>28.6</v>
      </c>
      <c r="AO7">
        <v>49.6</v>
      </c>
      <c r="AP7">
        <v>49.6</v>
      </c>
      <c r="AQ7">
        <v>47.3</v>
      </c>
      <c r="AR7">
        <v>169</v>
      </c>
      <c r="AS7" t="s">
        <v>46</v>
      </c>
      <c r="AT7" t="s">
        <v>315</v>
      </c>
      <c r="AU7" t="s">
        <v>321</v>
      </c>
      <c r="AV7" t="s">
        <v>52</v>
      </c>
      <c r="AW7" t="s">
        <v>317</v>
      </c>
      <c r="AX7" t="s">
        <v>318</v>
      </c>
      <c r="AY7">
        <v>1.4999999999999999E-2</v>
      </c>
      <c r="AZ7">
        <v>9.3059999999999992</v>
      </c>
      <c r="BA7">
        <v>0.78705000000000003</v>
      </c>
      <c r="BB7">
        <v>0.83038999999999996</v>
      </c>
      <c r="BC7">
        <v>0.89999999999999902</v>
      </c>
      <c r="BD7">
        <v>1.16166693692232</v>
      </c>
      <c r="BE7" t="s">
        <v>319</v>
      </c>
      <c r="BF7" t="s">
        <v>320</v>
      </c>
    </row>
    <row r="8" spans="1:58" customFormat="1" x14ac:dyDescent="0.35">
      <c r="A8">
        <v>10</v>
      </c>
      <c r="B8">
        <v>16</v>
      </c>
      <c r="C8">
        <v>16</v>
      </c>
      <c r="D8">
        <v>22</v>
      </c>
      <c r="E8">
        <v>24</v>
      </c>
      <c r="F8">
        <v>25</v>
      </c>
      <c r="G8">
        <v>25</v>
      </c>
      <c r="H8">
        <v>27</v>
      </c>
      <c r="I8">
        <v>25</v>
      </c>
      <c r="J8">
        <v>28</v>
      </c>
      <c r="K8">
        <v>29</v>
      </c>
      <c r="L8">
        <v>31</v>
      </c>
      <c r="M8">
        <v>32</v>
      </c>
      <c r="N8">
        <v>37</v>
      </c>
      <c r="O8">
        <v>36</v>
      </c>
      <c r="P8">
        <v>39</v>
      </c>
      <c r="Q8">
        <v>39</v>
      </c>
      <c r="R8">
        <v>41</v>
      </c>
      <c r="S8">
        <v>43</v>
      </c>
      <c r="T8">
        <v>42</v>
      </c>
      <c r="U8">
        <v>39</v>
      </c>
      <c r="V8">
        <f>MAX(A8:U8)</f>
        <v>43</v>
      </c>
      <c r="W8" s="4" t="s">
        <v>55</v>
      </c>
      <c r="X8">
        <v>8.3419381572942964E-4</v>
      </c>
      <c r="Y8">
        <v>83.2</v>
      </c>
      <c r="Z8">
        <v>31</v>
      </c>
      <c r="AA8">
        <v>79.2</v>
      </c>
      <c r="AB8">
        <v>44</v>
      </c>
      <c r="AC8">
        <v>35.9</v>
      </c>
      <c r="AD8">
        <v>11</v>
      </c>
      <c r="AE8">
        <v>1682</v>
      </c>
      <c r="AF8">
        <v>27.7</v>
      </c>
      <c r="AG8">
        <v>34.9</v>
      </c>
      <c r="AH8">
        <v>18.2</v>
      </c>
      <c r="AI8">
        <v>45.2</v>
      </c>
      <c r="AJ8">
        <v>24.1</v>
      </c>
      <c r="AK8">
        <v>35.700000000000003</v>
      </c>
      <c r="AL8">
        <v>21.6</v>
      </c>
      <c r="AM8">
        <v>36.4</v>
      </c>
      <c r="AN8">
        <v>25</v>
      </c>
      <c r="AO8">
        <v>41.8</v>
      </c>
      <c r="AP8">
        <v>54.9</v>
      </c>
      <c r="AQ8">
        <v>51.6</v>
      </c>
      <c r="AR8">
        <v>178</v>
      </c>
      <c r="AS8" t="s">
        <v>46</v>
      </c>
      <c r="AT8" t="s">
        <v>315</v>
      </c>
      <c r="AU8" t="s">
        <v>321</v>
      </c>
      <c r="AV8" t="s">
        <v>52</v>
      </c>
      <c r="AW8" t="s">
        <v>317</v>
      </c>
      <c r="AX8" t="s">
        <v>318</v>
      </c>
      <c r="AY8">
        <v>8.1000000000000003E-2</v>
      </c>
      <c r="AZ8">
        <v>14.88</v>
      </c>
      <c r="BA8">
        <v>0.94062000000000001</v>
      </c>
      <c r="BB8">
        <v>2.2227600000000001</v>
      </c>
      <c r="BC8">
        <v>4.8600000000000003</v>
      </c>
      <c r="BD8">
        <v>4.4326252634992702</v>
      </c>
      <c r="BE8" t="s">
        <v>319</v>
      </c>
      <c r="BF8" t="s">
        <v>324</v>
      </c>
    </row>
    <row r="9" spans="1:58" customFormat="1" x14ac:dyDescent="0.35">
      <c r="A9">
        <v>10</v>
      </c>
      <c r="B9">
        <v>10</v>
      </c>
      <c r="C9">
        <v>12</v>
      </c>
      <c r="D9">
        <v>15</v>
      </c>
      <c r="E9">
        <v>16</v>
      </c>
      <c r="F9">
        <v>17</v>
      </c>
      <c r="G9">
        <v>17</v>
      </c>
      <c r="H9">
        <v>12</v>
      </c>
      <c r="I9">
        <v>15</v>
      </c>
      <c r="J9">
        <v>19</v>
      </c>
      <c r="K9">
        <v>23</v>
      </c>
      <c r="L9">
        <v>24</v>
      </c>
      <c r="M9">
        <v>26</v>
      </c>
      <c r="N9">
        <v>31</v>
      </c>
      <c r="O9">
        <v>25</v>
      </c>
      <c r="P9">
        <v>31</v>
      </c>
      <c r="Q9">
        <v>31</v>
      </c>
      <c r="R9">
        <v>36</v>
      </c>
      <c r="S9">
        <v>38</v>
      </c>
      <c r="T9">
        <v>40</v>
      </c>
      <c r="U9">
        <v>40</v>
      </c>
      <c r="V9">
        <f>MAX(A9:U9)</f>
        <v>40</v>
      </c>
      <c r="W9" s="4" t="s">
        <v>56</v>
      </c>
      <c r="X9">
        <v>9.747250155520287E-4</v>
      </c>
      <c r="Y9">
        <v>96.28</v>
      </c>
      <c r="Z9">
        <v>24</v>
      </c>
      <c r="AA9">
        <v>61.4</v>
      </c>
      <c r="AB9">
        <v>42</v>
      </c>
      <c r="AC9">
        <v>37.1</v>
      </c>
      <c r="AD9">
        <v>7</v>
      </c>
      <c r="AE9">
        <v>1259</v>
      </c>
      <c r="AF9">
        <v>22.4</v>
      </c>
      <c r="AG9">
        <v>23.3</v>
      </c>
      <c r="AH9">
        <v>17</v>
      </c>
      <c r="AI9">
        <v>35.1</v>
      </c>
      <c r="AJ9">
        <v>31.2</v>
      </c>
      <c r="AK9">
        <v>50.3</v>
      </c>
      <c r="AL9">
        <v>28</v>
      </c>
      <c r="AM9">
        <v>44.7</v>
      </c>
      <c r="AN9">
        <v>25.2</v>
      </c>
      <c r="AO9">
        <v>45.85</v>
      </c>
      <c r="AP9">
        <v>43</v>
      </c>
      <c r="AQ9">
        <v>43.1</v>
      </c>
      <c r="AR9">
        <v>156</v>
      </c>
      <c r="AS9" t="s">
        <v>49</v>
      </c>
      <c r="AT9" t="s">
        <v>315</v>
      </c>
      <c r="AU9" t="s">
        <v>321</v>
      </c>
      <c r="AV9" t="s">
        <v>52</v>
      </c>
      <c r="AW9" t="s">
        <v>317</v>
      </c>
      <c r="AX9" t="s">
        <v>323</v>
      </c>
      <c r="AY9">
        <v>8.6999999999999994E-2</v>
      </c>
      <c r="AZ9">
        <v>7.2119999999999997</v>
      </c>
      <c r="BA9">
        <v>0.93661000000000005</v>
      </c>
      <c r="BB9">
        <v>2.47051</v>
      </c>
      <c r="BC9">
        <v>5.22</v>
      </c>
      <c r="BD9">
        <v>6.8240635641316603</v>
      </c>
      <c r="BE9" t="s">
        <v>319</v>
      </c>
      <c r="BF9" t="s">
        <v>324</v>
      </c>
    </row>
    <row r="10" spans="1:58" customFormat="1" x14ac:dyDescent="0.35">
      <c r="A10">
        <v>10</v>
      </c>
      <c r="B10">
        <v>10</v>
      </c>
      <c r="C10">
        <v>10</v>
      </c>
      <c r="D10">
        <v>10</v>
      </c>
      <c r="E10">
        <v>10</v>
      </c>
      <c r="F10">
        <v>10</v>
      </c>
      <c r="G10">
        <v>10</v>
      </c>
      <c r="H10">
        <v>10</v>
      </c>
      <c r="I10">
        <v>10</v>
      </c>
      <c r="J10">
        <v>10</v>
      </c>
      <c r="K10">
        <v>10</v>
      </c>
      <c r="L10">
        <v>10</v>
      </c>
      <c r="M10">
        <v>10</v>
      </c>
      <c r="N10">
        <v>10</v>
      </c>
      <c r="O10">
        <v>10</v>
      </c>
      <c r="P10">
        <v>10</v>
      </c>
      <c r="Q10">
        <v>10</v>
      </c>
      <c r="R10">
        <v>10</v>
      </c>
      <c r="S10">
        <v>10</v>
      </c>
      <c r="T10">
        <v>10</v>
      </c>
      <c r="U10">
        <v>10</v>
      </c>
      <c r="V10">
        <f>MAX(A10:U10)</f>
        <v>10</v>
      </c>
      <c r="W10" s="4" t="s">
        <v>57</v>
      </c>
      <c r="Y10">
        <v>0</v>
      </c>
      <c r="Z10">
        <v>19</v>
      </c>
      <c r="AA10">
        <v>98</v>
      </c>
      <c r="AB10">
        <v>59</v>
      </c>
      <c r="AC10">
        <v>30.8</v>
      </c>
      <c r="AD10">
        <v>20</v>
      </c>
      <c r="AE10">
        <v>2003</v>
      </c>
      <c r="AF10">
        <v>29.1</v>
      </c>
      <c r="AG10">
        <v>33.5</v>
      </c>
      <c r="AH10">
        <v>20.8</v>
      </c>
      <c r="AI10">
        <v>46.5</v>
      </c>
      <c r="AJ10">
        <v>21.9</v>
      </c>
      <c r="AK10">
        <v>26.7</v>
      </c>
      <c r="AL10">
        <v>20.2</v>
      </c>
      <c r="AM10">
        <v>27.4</v>
      </c>
      <c r="AN10">
        <v>30.6</v>
      </c>
      <c r="AO10">
        <v>46.55</v>
      </c>
      <c r="AP10">
        <v>52</v>
      </c>
      <c r="AQ10">
        <v>53.1</v>
      </c>
      <c r="AR10">
        <v>179</v>
      </c>
      <c r="AS10" t="s">
        <v>46</v>
      </c>
      <c r="AT10" t="s">
        <v>327</v>
      </c>
      <c r="AU10" t="s">
        <v>316</v>
      </c>
      <c r="AV10" t="s">
        <v>52</v>
      </c>
      <c r="AW10" t="s">
        <v>326</v>
      </c>
      <c r="AX10" t="s">
        <v>318</v>
      </c>
      <c r="AY10">
        <v>0</v>
      </c>
      <c r="AZ10">
        <v>10</v>
      </c>
      <c r="BA10">
        <v>0</v>
      </c>
      <c r="BB10">
        <v>0</v>
      </c>
      <c r="BC10">
        <v>0</v>
      </c>
      <c r="BD10">
        <v>0</v>
      </c>
      <c r="BE10" t="s">
        <v>328</v>
      </c>
      <c r="BF10" t="s">
        <v>320</v>
      </c>
    </row>
    <row r="11" spans="1:58" customFormat="1" x14ac:dyDescent="0.35">
      <c r="A11">
        <v>10</v>
      </c>
      <c r="B11">
        <v>11</v>
      </c>
      <c r="C11">
        <v>12</v>
      </c>
      <c r="D11">
        <v>12</v>
      </c>
      <c r="E11">
        <v>12</v>
      </c>
      <c r="F11">
        <v>13</v>
      </c>
      <c r="G11">
        <v>14</v>
      </c>
      <c r="H11">
        <v>14</v>
      </c>
      <c r="I11">
        <v>14</v>
      </c>
      <c r="J11">
        <v>13</v>
      </c>
      <c r="K11">
        <v>13</v>
      </c>
      <c r="L11">
        <v>13</v>
      </c>
      <c r="M11">
        <v>12</v>
      </c>
      <c r="N11">
        <v>13</v>
      </c>
      <c r="O11">
        <v>14</v>
      </c>
      <c r="P11">
        <v>13</v>
      </c>
      <c r="Q11">
        <v>13</v>
      </c>
      <c r="R11">
        <v>13</v>
      </c>
      <c r="S11">
        <v>13</v>
      </c>
      <c r="T11">
        <v>13</v>
      </c>
      <c r="U11">
        <v>13</v>
      </c>
      <c r="V11">
        <f>MAX(A11:U11)</f>
        <v>14</v>
      </c>
      <c r="W11" s="4" t="s">
        <v>58</v>
      </c>
      <c r="X11">
        <v>8.5047735649476056E-4</v>
      </c>
      <c r="Y11">
        <v>0.94</v>
      </c>
      <c r="Z11">
        <v>23</v>
      </c>
      <c r="AA11">
        <v>53</v>
      </c>
      <c r="AB11">
        <v>45</v>
      </c>
      <c r="AC11">
        <v>28.6</v>
      </c>
      <c r="AD11">
        <v>4</v>
      </c>
      <c r="AE11">
        <v>1167</v>
      </c>
      <c r="AF11">
        <v>25.8</v>
      </c>
      <c r="AG11">
        <v>29</v>
      </c>
      <c r="AH11">
        <v>20.3</v>
      </c>
      <c r="AI11">
        <v>38.299999999999997</v>
      </c>
      <c r="AJ11">
        <v>24.4</v>
      </c>
      <c r="AK11">
        <v>39.200000000000003</v>
      </c>
      <c r="AL11">
        <v>20.5</v>
      </c>
      <c r="AM11">
        <v>33.6</v>
      </c>
      <c r="AN11">
        <v>21.8</v>
      </c>
      <c r="AO11">
        <v>36.35</v>
      </c>
      <c r="AP11">
        <v>46.95</v>
      </c>
      <c r="AQ11">
        <v>43</v>
      </c>
      <c r="AR11">
        <v>156</v>
      </c>
      <c r="AS11" t="s">
        <v>49</v>
      </c>
      <c r="AT11" t="s">
        <v>315</v>
      </c>
      <c r="AU11" t="s">
        <v>321</v>
      </c>
      <c r="AV11" t="s">
        <v>47</v>
      </c>
      <c r="AW11" t="s">
        <v>317</v>
      </c>
      <c r="AX11" t="s">
        <v>323</v>
      </c>
      <c r="AY11">
        <v>4.0000000000000001E-3</v>
      </c>
      <c r="AZ11">
        <v>11.941000000000001</v>
      </c>
      <c r="BA11">
        <v>0.25092999999999999</v>
      </c>
      <c r="BB11">
        <v>0.84060000000000001</v>
      </c>
      <c r="BC11">
        <v>0.24</v>
      </c>
      <c r="BD11">
        <v>-0.155667261229122</v>
      </c>
      <c r="BE11" t="s">
        <v>319</v>
      </c>
      <c r="BF11" t="s">
        <v>320</v>
      </c>
    </row>
    <row r="12" spans="1:58" customFormat="1" x14ac:dyDescent="0.35">
      <c r="A12">
        <v>10</v>
      </c>
      <c r="B12">
        <v>10</v>
      </c>
      <c r="C12">
        <v>10</v>
      </c>
      <c r="D12">
        <v>10</v>
      </c>
      <c r="E12">
        <v>10</v>
      </c>
      <c r="F12">
        <v>10</v>
      </c>
      <c r="G12">
        <v>11</v>
      </c>
      <c r="H12">
        <v>10</v>
      </c>
      <c r="I12">
        <v>13</v>
      </c>
      <c r="J12">
        <v>15</v>
      </c>
      <c r="K12">
        <v>18</v>
      </c>
      <c r="L12">
        <v>23</v>
      </c>
      <c r="M12">
        <v>29</v>
      </c>
      <c r="N12">
        <v>29</v>
      </c>
      <c r="O12">
        <v>29</v>
      </c>
      <c r="P12">
        <v>31</v>
      </c>
      <c r="Q12">
        <v>27</v>
      </c>
      <c r="R12">
        <v>31</v>
      </c>
      <c r="S12">
        <v>27</v>
      </c>
      <c r="T12">
        <v>27</v>
      </c>
      <c r="U12">
        <v>31</v>
      </c>
      <c r="V12">
        <f>MAX(A12:U12)</f>
        <v>31</v>
      </c>
      <c r="W12" s="4" t="s">
        <v>59</v>
      </c>
      <c r="X12">
        <v>2.636403212431632E-3</v>
      </c>
      <c r="Y12">
        <v>77.010000000000005</v>
      </c>
      <c r="Z12">
        <v>25</v>
      </c>
      <c r="AA12">
        <v>70.7</v>
      </c>
      <c r="AB12">
        <v>54</v>
      </c>
      <c r="AC12">
        <v>31.6</v>
      </c>
      <c r="AD12">
        <v>15</v>
      </c>
      <c r="AE12">
        <v>1557</v>
      </c>
      <c r="AF12">
        <v>26.7</v>
      </c>
      <c r="AG12">
        <v>34.1</v>
      </c>
      <c r="AH12">
        <v>18.8</v>
      </c>
      <c r="AI12">
        <v>44.2</v>
      </c>
      <c r="AJ12">
        <v>21.7</v>
      </c>
      <c r="AK12">
        <v>29.6</v>
      </c>
      <c r="AL12">
        <v>19.7</v>
      </c>
      <c r="AM12">
        <v>30.1</v>
      </c>
      <c r="AN12">
        <v>26.9</v>
      </c>
      <c r="AO12">
        <v>40.950000000000003</v>
      </c>
      <c r="AP12">
        <v>47.4</v>
      </c>
      <c r="AQ12">
        <v>42.6</v>
      </c>
      <c r="AR12">
        <v>162</v>
      </c>
      <c r="AS12" t="s">
        <v>46</v>
      </c>
      <c r="AT12" t="s">
        <v>315</v>
      </c>
      <c r="AU12" t="s">
        <v>321</v>
      </c>
      <c r="AV12" t="s">
        <v>52</v>
      </c>
      <c r="AW12" t="s">
        <v>326</v>
      </c>
      <c r="AX12" t="s">
        <v>323</v>
      </c>
      <c r="AY12">
        <v>7.2999999999999995E-2</v>
      </c>
      <c r="AZ12">
        <v>6.0380000000000003</v>
      </c>
      <c r="BA12">
        <v>0.83504999999999996</v>
      </c>
      <c r="BB12">
        <v>3.5640399999999999</v>
      </c>
      <c r="BC12">
        <v>4.38</v>
      </c>
      <c r="BD12">
        <v>4.6894762445273201</v>
      </c>
      <c r="BE12" t="s">
        <v>319</v>
      </c>
      <c r="BF12" t="s">
        <v>324</v>
      </c>
    </row>
    <row r="13" spans="1:58" customFormat="1" x14ac:dyDescent="0.35">
      <c r="A13">
        <v>10</v>
      </c>
      <c r="B13">
        <v>10</v>
      </c>
      <c r="C13">
        <v>12</v>
      </c>
      <c r="D13">
        <v>14</v>
      </c>
      <c r="E13">
        <v>18</v>
      </c>
      <c r="F13">
        <v>18</v>
      </c>
      <c r="G13">
        <v>18</v>
      </c>
      <c r="H13">
        <v>10</v>
      </c>
      <c r="I13">
        <v>12</v>
      </c>
      <c r="J13">
        <v>14</v>
      </c>
      <c r="K13">
        <v>18</v>
      </c>
      <c r="L13">
        <v>18</v>
      </c>
      <c r="M13">
        <v>18</v>
      </c>
      <c r="N13">
        <v>20</v>
      </c>
      <c r="O13">
        <v>10</v>
      </c>
      <c r="P13">
        <v>14</v>
      </c>
      <c r="Q13">
        <v>14</v>
      </c>
      <c r="R13">
        <v>18</v>
      </c>
      <c r="S13">
        <v>22</v>
      </c>
      <c r="T13">
        <v>22</v>
      </c>
      <c r="U13">
        <v>22</v>
      </c>
      <c r="V13">
        <f>MAX(A13:U13)</f>
        <v>22</v>
      </c>
      <c r="W13" s="4" t="s">
        <v>60</v>
      </c>
      <c r="X13">
        <v>1.329515082212534E-3</v>
      </c>
      <c r="Y13">
        <v>16.34</v>
      </c>
      <c r="Z13">
        <v>30</v>
      </c>
      <c r="AA13">
        <v>70.2</v>
      </c>
      <c r="AB13">
        <v>42</v>
      </c>
      <c r="AC13">
        <v>28</v>
      </c>
      <c r="AD13">
        <v>8</v>
      </c>
      <c r="AE13">
        <v>1583</v>
      </c>
      <c r="AF13">
        <v>30.5</v>
      </c>
      <c r="AG13">
        <v>37.200000000000003</v>
      </c>
      <c r="AH13">
        <v>22.6</v>
      </c>
      <c r="AI13">
        <v>47.9</v>
      </c>
      <c r="AJ13">
        <v>18.899999999999999</v>
      </c>
      <c r="AK13">
        <v>27.2</v>
      </c>
      <c r="AL13">
        <v>16.7</v>
      </c>
      <c r="AM13">
        <v>27.4</v>
      </c>
      <c r="AN13">
        <v>22.9</v>
      </c>
      <c r="AO13">
        <v>38.9</v>
      </c>
      <c r="AP13">
        <v>49.5</v>
      </c>
      <c r="AQ13">
        <v>48.5</v>
      </c>
      <c r="AR13">
        <v>175</v>
      </c>
      <c r="AS13" t="s">
        <v>46</v>
      </c>
      <c r="AT13" t="s">
        <v>315</v>
      </c>
      <c r="AU13" t="s">
        <v>321</v>
      </c>
      <c r="AV13" t="s">
        <v>47</v>
      </c>
      <c r="AW13" t="s">
        <v>317</v>
      </c>
      <c r="AX13" t="s">
        <v>318</v>
      </c>
      <c r="AY13">
        <v>2.3E-2</v>
      </c>
      <c r="AZ13">
        <v>11.565</v>
      </c>
      <c r="BA13">
        <v>0.38704</v>
      </c>
      <c r="BB13">
        <v>3.1652200000000001</v>
      </c>
      <c r="BC13">
        <v>1.38</v>
      </c>
      <c r="BD13">
        <v>2.2338251986379101</v>
      </c>
      <c r="BE13" t="s">
        <v>319</v>
      </c>
      <c r="BF13" t="s">
        <v>320</v>
      </c>
    </row>
    <row r="14" spans="1:58" customFormat="1" x14ac:dyDescent="0.35">
      <c r="A14">
        <v>10</v>
      </c>
      <c r="B14">
        <v>10</v>
      </c>
      <c r="C14">
        <v>10</v>
      </c>
      <c r="D14">
        <v>10</v>
      </c>
      <c r="E14">
        <v>10</v>
      </c>
      <c r="F14">
        <v>10</v>
      </c>
      <c r="G14">
        <v>10</v>
      </c>
      <c r="H14">
        <v>11</v>
      </c>
      <c r="I14">
        <v>11</v>
      </c>
      <c r="J14">
        <v>12</v>
      </c>
      <c r="K14">
        <v>13</v>
      </c>
      <c r="L14">
        <v>13</v>
      </c>
      <c r="M14">
        <v>13</v>
      </c>
      <c r="N14">
        <v>13</v>
      </c>
      <c r="O14">
        <v>13</v>
      </c>
      <c r="P14">
        <v>13</v>
      </c>
      <c r="Q14">
        <v>18</v>
      </c>
      <c r="R14">
        <v>16</v>
      </c>
      <c r="S14">
        <v>16</v>
      </c>
      <c r="T14">
        <v>18</v>
      </c>
      <c r="U14">
        <v>20</v>
      </c>
      <c r="V14">
        <f>MAX(A14:U14)</f>
        <v>20</v>
      </c>
      <c r="W14" s="4" t="s">
        <v>61</v>
      </c>
      <c r="X14">
        <v>3.4531892467221777E-2</v>
      </c>
      <c r="Y14">
        <v>8.98</v>
      </c>
      <c r="Z14">
        <v>19</v>
      </c>
      <c r="AA14">
        <v>52.7</v>
      </c>
      <c r="AB14">
        <v>42</v>
      </c>
      <c r="AC14">
        <v>37.5</v>
      </c>
      <c r="AD14">
        <v>5.5</v>
      </c>
      <c r="AE14">
        <v>1127</v>
      </c>
      <c r="AF14">
        <v>21.9</v>
      </c>
      <c r="AG14">
        <v>24.5</v>
      </c>
      <c r="AH14">
        <v>17.100000000000001</v>
      </c>
      <c r="AI14">
        <v>33.5</v>
      </c>
      <c r="AJ14">
        <v>29.6</v>
      </c>
      <c r="AK14">
        <v>50.7</v>
      </c>
      <c r="AL14">
        <v>27.1</v>
      </c>
      <c r="AM14">
        <v>43.1</v>
      </c>
      <c r="AN14">
        <v>22.8</v>
      </c>
      <c r="AO14">
        <v>39.950000000000003</v>
      </c>
      <c r="AP14">
        <v>38.450000000000003</v>
      </c>
      <c r="AQ14">
        <v>40.299999999999997</v>
      </c>
      <c r="AR14">
        <v>152</v>
      </c>
      <c r="AS14" t="s">
        <v>49</v>
      </c>
      <c r="AT14">
        <v>0</v>
      </c>
      <c r="AU14" t="s">
        <v>316</v>
      </c>
      <c r="AV14" t="s">
        <v>47</v>
      </c>
      <c r="AW14" t="s">
        <v>317</v>
      </c>
      <c r="AX14" t="s">
        <v>323</v>
      </c>
      <c r="AY14">
        <v>2.5000000000000001E-2</v>
      </c>
      <c r="AZ14">
        <v>8.2390000000000008</v>
      </c>
      <c r="BA14">
        <v>0.83406999999999998</v>
      </c>
      <c r="BB14">
        <v>1.22065</v>
      </c>
      <c r="BC14">
        <v>1.5</v>
      </c>
      <c r="BD14">
        <v>1.98475758067131</v>
      </c>
      <c r="BE14" t="s">
        <v>319</v>
      </c>
      <c r="BF14" t="s">
        <v>320</v>
      </c>
    </row>
    <row r="15" spans="1:58" customFormat="1" x14ac:dyDescent="0.35">
      <c r="A15">
        <v>10</v>
      </c>
      <c r="B15">
        <v>10</v>
      </c>
      <c r="C15">
        <v>10</v>
      </c>
      <c r="D15">
        <v>10</v>
      </c>
      <c r="E15">
        <v>10</v>
      </c>
      <c r="F15">
        <v>10</v>
      </c>
      <c r="G15">
        <v>10</v>
      </c>
      <c r="H15">
        <v>10</v>
      </c>
      <c r="I15">
        <v>10</v>
      </c>
      <c r="J15">
        <v>10</v>
      </c>
      <c r="K15">
        <v>10</v>
      </c>
      <c r="L15">
        <v>10</v>
      </c>
      <c r="M15">
        <v>10</v>
      </c>
      <c r="N15">
        <v>10</v>
      </c>
      <c r="O15">
        <v>10</v>
      </c>
      <c r="P15">
        <v>10</v>
      </c>
      <c r="Q15">
        <v>10</v>
      </c>
      <c r="R15">
        <v>10</v>
      </c>
      <c r="S15">
        <v>10</v>
      </c>
      <c r="T15">
        <v>10</v>
      </c>
      <c r="U15">
        <v>10</v>
      </c>
      <c r="V15">
        <f>MAX(A15:U15)</f>
        <v>10</v>
      </c>
      <c r="W15" s="4" t="s">
        <v>62</v>
      </c>
      <c r="Y15">
        <v>0</v>
      </c>
      <c r="Z15">
        <v>30</v>
      </c>
      <c r="AA15">
        <v>72</v>
      </c>
      <c r="AB15">
        <v>57</v>
      </c>
      <c r="AC15">
        <v>28.7</v>
      </c>
      <c r="AD15">
        <v>12.5</v>
      </c>
      <c r="AE15">
        <v>1596</v>
      </c>
      <c r="AF15">
        <v>28.3</v>
      </c>
      <c r="AG15">
        <v>34.799999999999997</v>
      </c>
      <c r="AH15">
        <v>20.8</v>
      </c>
      <c r="AI15">
        <v>45.8</v>
      </c>
      <c r="AJ15">
        <v>19.7</v>
      </c>
      <c r="AK15">
        <v>26.2</v>
      </c>
      <c r="AL15">
        <v>17.7</v>
      </c>
      <c r="AM15">
        <v>26.6</v>
      </c>
      <c r="AN15">
        <v>25.2</v>
      </c>
      <c r="AO15">
        <v>40.75</v>
      </c>
      <c r="AP15">
        <v>49.15</v>
      </c>
      <c r="AQ15">
        <v>47.75</v>
      </c>
      <c r="AR15">
        <v>169</v>
      </c>
      <c r="AS15" t="s">
        <v>46</v>
      </c>
      <c r="AT15" t="s">
        <v>315</v>
      </c>
      <c r="AU15" t="s">
        <v>321</v>
      </c>
      <c r="AV15" t="s">
        <v>52</v>
      </c>
      <c r="AW15" t="s">
        <v>326</v>
      </c>
      <c r="AX15" t="s">
        <v>318</v>
      </c>
      <c r="AY15">
        <v>0</v>
      </c>
      <c r="AZ15">
        <v>10</v>
      </c>
      <c r="BA15">
        <v>0</v>
      </c>
      <c r="BB15">
        <v>0</v>
      </c>
      <c r="BC15">
        <v>0</v>
      </c>
      <c r="BD15">
        <v>0</v>
      </c>
      <c r="BE15" t="s">
        <v>328</v>
      </c>
      <c r="BF15" t="s">
        <v>320</v>
      </c>
    </row>
    <row r="16" spans="1:58" customFormat="1" x14ac:dyDescent="0.35">
      <c r="A16">
        <v>10</v>
      </c>
      <c r="B16">
        <v>22</v>
      </c>
      <c r="C16">
        <v>26</v>
      </c>
      <c r="D16">
        <v>24</v>
      </c>
      <c r="E16">
        <v>30</v>
      </c>
      <c r="F16">
        <v>30</v>
      </c>
      <c r="G16">
        <v>26</v>
      </c>
      <c r="H16">
        <v>20</v>
      </c>
      <c r="I16">
        <v>24</v>
      </c>
      <c r="J16">
        <v>26</v>
      </c>
      <c r="K16">
        <v>26</v>
      </c>
      <c r="L16">
        <v>26</v>
      </c>
      <c r="M16">
        <v>26</v>
      </c>
      <c r="N16">
        <v>26</v>
      </c>
      <c r="O16">
        <v>28</v>
      </c>
      <c r="P16">
        <v>22</v>
      </c>
      <c r="Q16">
        <v>26</v>
      </c>
      <c r="R16">
        <v>28</v>
      </c>
      <c r="S16">
        <v>28</v>
      </c>
      <c r="T16">
        <v>29</v>
      </c>
      <c r="U16">
        <v>29</v>
      </c>
      <c r="V16">
        <f>MAX(A16:U16)</f>
        <v>30</v>
      </c>
      <c r="W16" s="4" t="s">
        <v>64</v>
      </c>
      <c r="X16">
        <v>3.8996604527153779E-3</v>
      </c>
      <c r="Y16">
        <v>18.32</v>
      </c>
      <c r="Z16">
        <v>28</v>
      </c>
      <c r="AA16">
        <v>69.3</v>
      </c>
      <c r="AB16">
        <v>49</v>
      </c>
      <c r="AC16">
        <v>38</v>
      </c>
      <c r="AD16">
        <v>7</v>
      </c>
      <c r="AE16">
        <v>1377</v>
      </c>
      <c r="AF16">
        <v>22.8</v>
      </c>
      <c r="AG16">
        <v>22</v>
      </c>
      <c r="AH16">
        <v>17</v>
      </c>
      <c r="AI16">
        <v>35</v>
      </c>
      <c r="AJ16">
        <v>31.1</v>
      </c>
      <c r="AK16">
        <v>51.5</v>
      </c>
      <c r="AL16">
        <v>28.3</v>
      </c>
      <c r="AM16">
        <v>45.2</v>
      </c>
      <c r="AN16">
        <v>24.6</v>
      </c>
      <c r="AO16">
        <v>44.3</v>
      </c>
      <c r="AP16">
        <v>48.65</v>
      </c>
      <c r="AQ16">
        <v>45.1</v>
      </c>
      <c r="AR16">
        <v>168</v>
      </c>
      <c r="AS16" t="s">
        <v>49</v>
      </c>
      <c r="AT16" t="s">
        <v>315</v>
      </c>
      <c r="AU16" t="s">
        <v>321</v>
      </c>
      <c r="AV16" t="s">
        <v>47</v>
      </c>
      <c r="AW16" t="s">
        <v>317</v>
      </c>
      <c r="AX16" t="s">
        <v>318</v>
      </c>
      <c r="AY16">
        <v>0.02</v>
      </c>
      <c r="AZ16">
        <v>21.719000000000001</v>
      </c>
      <c r="BA16">
        <v>0.25037999999999999</v>
      </c>
      <c r="BB16">
        <v>3.7055500000000001</v>
      </c>
      <c r="BC16">
        <v>1.2</v>
      </c>
      <c r="BD16">
        <v>1.4165720771850101</v>
      </c>
      <c r="BE16" t="s">
        <v>319</v>
      </c>
      <c r="BF16" t="s">
        <v>320</v>
      </c>
    </row>
    <row r="17" spans="1:58" customFormat="1" x14ac:dyDescent="0.35">
      <c r="A17">
        <v>11</v>
      </c>
      <c r="B17">
        <v>11</v>
      </c>
      <c r="C17">
        <v>11</v>
      </c>
      <c r="D17">
        <v>11</v>
      </c>
      <c r="E17">
        <v>11</v>
      </c>
      <c r="F17">
        <v>12</v>
      </c>
      <c r="G17">
        <v>12</v>
      </c>
      <c r="H17">
        <v>12</v>
      </c>
      <c r="I17">
        <v>12</v>
      </c>
      <c r="J17">
        <v>12</v>
      </c>
      <c r="K17">
        <v>12</v>
      </c>
      <c r="L17">
        <v>12</v>
      </c>
      <c r="M17">
        <v>12</v>
      </c>
      <c r="N17">
        <v>14</v>
      </c>
      <c r="O17">
        <v>14</v>
      </c>
      <c r="P17">
        <v>14</v>
      </c>
      <c r="Q17">
        <v>14</v>
      </c>
      <c r="R17">
        <v>14</v>
      </c>
      <c r="S17">
        <v>14</v>
      </c>
      <c r="T17">
        <v>14</v>
      </c>
      <c r="U17">
        <v>14</v>
      </c>
      <c r="V17">
        <f>MAX(A17:U17)</f>
        <v>14</v>
      </c>
      <c r="W17" s="4" t="s">
        <v>65</v>
      </c>
      <c r="X17">
        <v>3.9967848835016428E-4</v>
      </c>
      <c r="Y17">
        <v>1.49</v>
      </c>
      <c r="Z17">
        <v>15</v>
      </c>
      <c r="AA17">
        <v>75.599999999999994</v>
      </c>
      <c r="AB17">
        <v>50</v>
      </c>
      <c r="AC17">
        <v>29.8</v>
      </c>
      <c r="AD17">
        <v>16</v>
      </c>
      <c r="AE17">
        <v>1646</v>
      </c>
      <c r="AF17">
        <v>27.9</v>
      </c>
      <c r="AG17">
        <v>34.200000000000003</v>
      </c>
      <c r="AH17">
        <v>20.100000000000001</v>
      </c>
      <c r="AI17">
        <v>45.3</v>
      </c>
      <c r="AJ17">
        <v>20.8</v>
      </c>
      <c r="AK17">
        <v>27.8</v>
      </c>
      <c r="AL17">
        <v>19</v>
      </c>
      <c r="AM17">
        <v>28.2</v>
      </c>
      <c r="AN17">
        <v>28.1</v>
      </c>
      <c r="AO17">
        <v>41.05</v>
      </c>
      <c r="AP17">
        <v>44.95</v>
      </c>
      <c r="AQ17">
        <v>41.15</v>
      </c>
      <c r="AR17">
        <v>164</v>
      </c>
      <c r="AS17" t="s">
        <v>46</v>
      </c>
      <c r="AT17" t="s">
        <v>315</v>
      </c>
      <c r="AU17" t="s">
        <v>316</v>
      </c>
      <c r="AV17" t="s">
        <v>52</v>
      </c>
      <c r="AW17" t="s">
        <v>317</v>
      </c>
      <c r="AX17" t="s">
        <v>323</v>
      </c>
      <c r="AY17">
        <v>0.01</v>
      </c>
      <c r="AZ17">
        <v>10.621</v>
      </c>
      <c r="BA17">
        <v>0.85424999999999995</v>
      </c>
      <c r="BB17">
        <v>0.46561999999999998</v>
      </c>
      <c r="BC17">
        <v>0.6</v>
      </c>
      <c r="BD17">
        <v>0.67715258634668396</v>
      </c>
      <c r="BE17" t="s">
        <v>319</v>
      </c>
      <c r="BF17" t="s">
        <v>320</v>
      </c>
    </row>
    <row r="18" spans="1:58" customFormat="1" x14ac:dyDescent="0.35">
      <c r="A18">
        <v>11</v>
      </c>
      <c r="B18">
        <v>11</v>
      </c>
      <c r="C18">
        <v>11</v>
      </c>
      <c r="D18">
        <v>10</v>
      </c>
      <c r="E18">
        <v>11</v>
      </c>
      <c r="F18">
        <v>11</v>
      </c>
      <c r="G18">
        <v>11</v>
      </c>
      <c r="H18">
        <v>11</v>
      </c>
      <c r="I18">
        <v>11</v>
      </c>
      <c r="J18">
        <v>11</v>
      </c>
      <c r="K18">
        <v>10</v>
      </c>
      <c r="L18">
        <v>10</v>
      </c>
      <c r="M18">
        <v>10</v>
      </c>
      <c r="N18">
        <v>10</v>
      </c>
      <c r="O18">
        <v>10</v>
      </c>
      <c r="P18">
        <v>10</v>
      </c>
      <c r="Q18">
        <v>10</v>
      </c>
      <c r="R18">
        <v>10</v>
      </c>
      <c r="S18">
        <v>10</v>
      </c>
      <c r="T18">
        <v>10</v>
      </c>
      <c r="U18">
        <v>10</v>
      </c>
      <c r="V18">
        <f>MAX(A18:U18)</f>
        <v>11</v>
      </c>
      <c r="W18" s="4" t="s">
        <v>66</v>
      </c>
      <c r="X18">
        <v>2.2106595827142179E-4</v>
      </c>
      <c r="Y18">
        <v>0.24</v>
      </c>
      <c r="Z18">
        <v>32</v>
      </c>
      <c r="AA18">
        <v>89</v>
      </c>
      <c r="AB18">
        <v>53</v>
      </c>
      <c r="AC18">
        <v>30.1</v>
      </c>
      <c r="AD18">
        <v>21</v>
      </c>
      <c r="AE18">
        <v>1860</v>
      </c>
      <c r="AF18">
        <v>28.6</v>
      </c>
      <c r="AG18">
        <v>33.6</v>
      </c>
      <c r="AH18">
        <v>20.6</v>
      </c>
      <c r="AI18">
        <v>46.1</v>
      </c>
      <c r="AJ18">
        <v>21.6</v>
      </c>
      <c r="AK18">
        <v>26.5</v>
      </c>
      <c r="AL18">
        <v>20.100000000000001</v>
      </c>
      <c r="AM18">
        <v>27.1</v>
      </c>
      <c r="AN18">
        <v>31.5</v>
      </c>
      <c r="AO18">
        <v>47</v>
      </c>
      <c r="AP18">
        <v>47.4</v>
      </c>
      <c r="AQ18">
        <v>45.9</v>
      </c>
      <c r="AR18">
        <v>168</v>
      </c>
      <c r="AS18" t="s">
        <v>46</v>
      </c>
      <c r="AT18">
        <v>0</v>
      </c>
      <c r="AU18" t="s">
        <v>316</v>
      </c>
      <c r="AV18" t="s">
        <v>52</v>
      </c>
      <c r="AW18" t="s">
        <v>326</v>
      </c>
      <c r="AX18" t="s">
        <v>318</v>
      </c>
      <c r="AY18">
        <v>-3.0000000000000001E-3</v>
      </c>
      <c r="AZ18">
        <v>11.066000000000001</v>
      </c>
      <c r="BA18">
        <v>0.58321999999999996</v>
      </c>
      <c r="BB18">
        <v>0.31947999999999999</v>
      </c>
      <c r="BC18">
        <v>-0.18</v>
      </c>
      <c r="BD18">
        <v>-0.239338414139776</v>
      </c>
      <c r="BE18" t="s">
        <v>329</v>
      </c>
      <c r="BF18" t="s">
        <v>320</v>
      </c>
    </row>
    <row r="19" spans="1:58" customFormat="1" x14ac:dyDescent="0.35">
      <c r="A19">
        <v>10</v>
      </c>
      <c r="B19">
        <v>10</v>
      </c>
      <c r="C19">
        <v>10</v>
      </c>
      <c r="D19">
        <v>10</v>
      </c>
      <c r="E19">
        <v>12</v>
      </c>
      <c r="F19">
        <v>12</v>
      </c>
      <c r="G19">
        <v>12</v>
      </c>
      <c r="H19">
        <v>10</v>
      </c>
      <c r="I19">
        <v>10</v>
      </c>
      <c r="J19">
        <v>10</v>
      </c>
      <c r="K19">
        <v>12</v>
      </c>
      <c r="L19">
        <v>12</v>
      </c>
      <c r="M19">
        <v>12</v>
      </c>
      <c r="N19">
        <v>14</v>
      </c>
      <c r="O19">
        <v>10</v>
      </c>
      <c r="P19">
        <v>10</v>
      </c>
      <c r="Q19">
        <v>14</v>
      </c>
      <c r="R19">
        <v>16</v>
      </c>
      <c r="S19">
        <v>16</v>
      </c>
      <c r="T19">
        <v>16</v>
      </c>
      <c r="U19">
        <v>16</v>
      </c>
      <c r="V19">
        <f>MAX(A19:U19)</f>
        <v>16</v>
      </c>
      <c r="W19" s="4" t="s">
        <v>67</v>
      </c>
      <c r="X19">
        <v>6.2511096432565236E-2</v>
      </c>
      <c r="Y19">
        <v>5.13</v>
      </c>
      <c r="Z19">
        <v>23</v>
      </c>
      <c r="AA19">
        <v>55.5</v>
      </c>
      <c r="AB19">
        <v>48</v>
      </c>
      <c r="AC19">
        <v>35</v>
      </c>
      <c r="AD19">
        <v>7.5</v>
      </c>
      <c r="AE19">
        <v>1177</v>
      </c>
      <c r="AF19">
        <v>22.6</v>
      </c>
      <c r="AG19">
        <v>24.7</v>
      </c>
      <c r="AH19">
        <v>17.100000000000001</v>
      </c>
      <c r="AI19">
        <v>35.299999999999997</v>
      </c>
      <c r="AJ19">
        <v>29.7</v>
      </c>
      <c r="AK19">
        <v>46.7</v>
      </c>
      <c r="AL19">
        <v>26.3</v>
      </c>
      <c r="AM19">
        <v>40.6</v>
      </c>
      <c r="AN19">
        <v>24.7</v>
      </c>
      <c r="AO19">
        <v>40.15</v>
      </c>
      <c r="AP19">
        <v>42.65</v>
      </c>
      <c r="AQ19">
        <v>38.950000000000003</v>
      </c>
      <c r="AR19">
        <v>150</v>
      </c>
      <c r="AS19" t="s">
        <v>49</v>
      </c>
      <c r="AT19" t="s">
        <v>315</v>
      </c>
      <c r="AU19" t="s">
        <v>321</v>
      </c>
      <c r="AV19" t="s">
        <v>47</v>
      </c>
      <c r="AW19" t="s">
        <v>317</v>
      </c>
      <c r="AX19" t="s">
        <v>323</v>
      </c>
      <c r="AY19">
        <v>1.6E-2</v>
      </c>
      <c r="AZ19">
        <v>9.17</v>
      </c>
      <c r="BA19">
        <v>0.58516999999999997</v>
      </c>
      <c r="BB19">
        <v>1.45932</v>
      </c>
      <c r="BC19">
        <v>0.96</v>
      </c>
      <c r="BD19">
        <v>1.6539646505594201</v>
      </c>
      <c r="BE19" t="s">
        <v>319</v>
      </c>
      <c r="BF19" t="s">
        <v>320</v>
      </c>
    </row>
    <row r="20" spans="1:58" customFormat="1" x14ac:dyDescent="0.35">
      <c r="A20">
        <v>10</v>
      </c>
      <c r="B20">
        <v>13</v>
      </c>
      <c r="C20">
        <v>16</v>
      </c>
      <c r="D20">
        <v>18</v>
      </c>
      <c r="E20">
        <v>20</v>
      </c>
      <c r="F20">
        <v>24</v>
      </c>
      <c r="G20">
        <v>23</v>
      </c>
      <c r="H20">
        <v>14</v>
      </c>
      <c r="I20">
        <v>15</v>
      </c>
      <c r="J20">
        <v>27</v>
      </c>
      <c r="K20">
        <v>27</v>
      </c>
      <c r="L20">
        <v>37</v>
      </c>
      <c r="M20">
        <v>38</v>
      </c>
      <c r="N20">
        <v>39</v>
      </c>
      <c r="O20">
        <v>30</v>
      </c>
      <c r="P20">
        <v>36</v>
      </c>
      <c r="Q20">
        <v>45</v>
      </c>
      <c r="R20">
        <v>43</v>
      </c>
      <c r="S20">
        <v>46</v>
      </c>
      <c r="T20">
        <v>47</v>
      </c>
      <c r="U20">
        <v>46</v>
      </c>
      <c r="V20">
        <f>MAX(A20:U20)</f>
        <v>47</v>
      </c>
      <c r="W20" s="4" t="s">
        <v>68</v>
      </c>
      <c r="X20">
        <v>5.9388717233115999E-3</v>
      </c>
      <c r="Y20">
        <v>148.85</v>
      </c>
      <c r="Z20">
        <v>20</v>
      </c>
      <c r="AA20">
        <v>76</v>
      </c>
      <c r="AB20">
        <v>49</v>
      </c>
      <c r="AC20">
        <v>37</v>
      </c>
      <c r="AD20">
        <v>13</v>
      </c>
      <c r="AE20">
        <v>1486</v>
      </c>
      <c r="AF20">
        <v>23.9</v>
      </c>
      <c r="AG20">
        <v>21.8</v>
      </c>
      <c r="AH20">
        <v>16.600000000000001</v>
      </c>
      <c r="AI20">
        <v>38.200000000000003</v>
      </c>
      <c r="AJ20">
        <v>35.200000000000003</v>
      </c>
      <c r="AK20">
        <v>47.9</v>
      </c>
      <c r="AL20">
        <v>30.6</v>
      </c>
      <c r="AM20">
        <v>44.3</v>
      </c>
      <c r="AN20">
        <v>30.8</v>
      </c>
      <c r="AO20">
        <v>42.75</v>
      </c>
      <c r="AP20">
        <v>46</v>
      </c>
      <c r="AQ20">
        <v>39.4</v>
      </c>
      <c r="AR20">
        <v>157</v>
      </c>
      <c r="AS20" t="s">
        <v>49</v>
      </c>
      <c r="AT20" t="s">
        <v>315</v>
      </c>
      <c r="AU20" t="s">
        <v>322</v>
      </c>
      <c r="AV20" t="s">
        <v>52</v>
      </c>
      <c r="AW20" t="s">
        <v>317</v>
      </c>
      <c r="AX20" t="s">
        <v>323</v>
      </c>
      <c r="AY20">
        <v>0.105</v>
      </c>
      <c r="AZ20">
        <v>9.8360000000000003</v>
      </c>
      <c r="BA20">
        <v>0.88793</v>
      </c>
      <c r="BB20">
        <v>4.08432</v>
      </c>
      <c r="BC20">
        <v>6.3</v>
      </c>
      <c r="BD20">
        <v>7.8144965137019602</v>
      </c>
      <c r="BE20" t="s">
        <v>319</v>
      </c>
      <c r="BF20" t="s">
        <v>324</v>
      </c>
    </row>
    <row r="21" spans="1:58" customFormat="1" x14ac:dyDescent="0.35">
      <c r="A21">
        <v>10</v>
      </c>
      <c r="B21">
        <v>10</v>
      </c>
      <c r="C21">
        <v>11</v>
      </c>
      <c r="D21">
        <v>11</v>
      </c>
      <c r="E21">
        <v>17</v>
      </c>
      <c r="F21">
        <v>17</v>
      </c>
      <c r="G21">
        <v>17</v>
      </c>
      <c r="H21">
        <v>17</v>
      </c>
      <c r="I21">
        <v>17</v>
      </c>
      <c r="J21">
        <v>17</v>
      </c>
      <c r="K21">
        <v>21</v>
      </c>
      <c r="L21">
        <v>23</v>
      </c>
      <c r="M21">
        <v>25</v>
      </c>
      <c r="N21">
        <v>25</v>
      </c>
      <c r="O21">
        <v>25</v>
      </c>
      <c r="P21">
        <v>25</v>
      </c>
      <c r="Q21">
        <v>25</v>
      </c>
      <c r="R21">
        <v>25</v>
      </c>
      <c r="S21">
        <v>25</v>
      </c>
      <c r="T21">
        <v>25</v>
      </c>
      <c r="U21">
        <v>25</v>
      </c>
      <c r="V21">
        <f>MAX(A21:U21)</f>
        <v>25</v>
      </c>
      <c r="W21" s="4" t="s">
        <v>69</v>
      </c>
      <c r="X21">
        <v>4.4709562628643101E-7</v>
      </c>
      <c r="Y21">
        <v>30.89</v>
      </c>
      <c r="Z21">
        <v>31</v>
      </c>
      <c r="AA21">
        <v>50.2</v>
      </c>
      <c r="AB21">
        <v>54</v>
      </c>
      <c r="AC21">
        <v>29.3</v>
      </c>
      <c r="AD21">
        <v>3</v>
      </c>
      <c r="AE21">
        <v>1120</v>
      </c>
      <c r="AF21">
        <v>25.2</v>
      </c>
      <c r="AG21">
        <v>28.9</v>
      </c>
      <c r="AH21">
        <v>19.899999999999999</v>
      </c>
      <c r="AI21">
        <v>37.200000000000003</v>
      </c>
      <c r="AJ21">
        <v>23.2</v>
      </c>
      <c r="AK21">
        <v>39.799999999999997</v>
      </c>
      <c r="AL21">
        <v>19.899999999999999</v>
      </c>
      <c r="AM21">
        <v>32.4</v>
      </c>
      <c r="AN21">
        <v>19.600000000000001</v>
      </c>
      <c r="AO21">
        <v>38.6</v>
      </c>
      <c r="AP21">
        <v>44.15</v>
      </c>
      <c r="AQ21">
        <v>43.7</v>
      </c>
      <c r="AR21">
        <v>160</v>
      </c>
      <c r="AS21" t="s">
        <v>49</v>
      </c>
      <c r="AT21">
        <v>0</v>
      </c>
      <c r="AU21" t="s">
        <v>321</v>
      </c>
      <c r="AV21" t="s">
        <v>47</v>
      </c>
      <c r="AW21" t="s">
        <v>326</v>
      </c>
      <c r="AX21" t="s">
        <v>323</v>
      </c>
      <c r="AY21">
        <v>4.8000000000000001E-2</v>
      </c>
      <c r="AZ21">
        <v>10.877000000000001</v>
      </c>
      <c r="BA21">
        <v>0.87824000000000002</v>
      </c>
      <c r="BB21">
        <v>1.93933</v>
      </c>
      <c r="BC21">
        <v>2.88</v>
      </c>
      <c r="BD21">
        <v>2.1754499756769898</v>
      </c>
      <c r="BE21" t="s">
        <v>319</v>
      </c>
      <c r="BF21" t="s">
        <v>320</v>
      </c>
    </row>
    <row r="22" spans="1:58" customFormat="1" x14ac:dyDescent="0.35">
      <c r="A22">
        <v>10</v>
      </c>
      <c r="B22">
        <v>11</v>
      </c>
      <c r="C22">
        <v>17</v>
      </c>
      <c r="D22">
        <v>17</v>
      </c>
      <c r="E22">
        <v>19</v>
      </c>
      <c r="F22">
        <v>17</v>
      </c>
      <c r="G22">
        <v>17</v>
      </c>
      <c r="H22">
        <v>10</v>
      </c>
      <c r="I22">
        <v>10</v>
      </c>
      <c r="J22">
        <v>10</v>
      </c>
      <c r="K22">
        <v>12</v>
      </c>
      <c r="L22">
        <v>12</v>
      </c>
      <c r="M22">
        <v>12</v>
      </c>
      <c r="N22">
        <v>12</v>
      </c>
      <c r="O22">
        <v>10</v>
      </c>
      <c r="P22">
        <v>10</v>
      </c>
      <c r="Q22">
        <v>10</v>
      </c>
      <c r="R22">
        <v>10</v>
      </c>
      <c r="S22">
        <v>10</v>
      </c>
      <c r="T22">
        <v>12</v>
      </c>
      <c r="U22">
        <v>10</v>
      </c>
      <c r="V22">
        <f>MAX(A22:U22)</f>
        <v>19</v>
      </c>
      <c r="W22" s="4" t="s">
        <v>70</v>
      </c>
      <c r="X22">
        <v>9.4711963066058339E-3</v>
      </c>
      <c r="Y22">
        <v>8.9700000000000006</v>
      </c>
      <c r="Z22">
        <v>24</v>
      </c>
      <c r="AA22">
        <v>43.3</v>
      </c>
      <c r="AB22">
        <v>53</v>
      </c>
      <c r="AC22">
        <v>26.8</v>
      </c>
      <c r="AD22">
        <v>1.5</v>
      </c>
      <c r="AE22">
        <v>1018</v>
      </c>
      <c r="AF22">
        <v>25.4</v>
      </c>
      <c r="AG22">
        <v>30.6</v>
      </c>
      <c r="AH22">
        <v>20.6</v>
      </c>
      <c r="AI22">
        <v>36.1</v>
      </c>
      <c r="AJ22">
        <v>20.5</v>
      </c>
      <c r="AK22">
        <v>37</v>
      </c>
      <c r="AL22">
        <v>17.3</v>
      </c>
      <c r="AM22">
        <v>29.2</v>
      </c>
      <c r="AN22">
        <v>17.600000000000001</v>
      </c>
      <c r="AO22">
        <v>35.799999999999997</v>
      </c>
      <c r="AP22">
        <v>43.5</v>
      </c>
      <c r="AQ22">
        <v>42</v>
      </c>
      <c r="AR22">
        <v>157</v>
      </c>
      <c r="AS22" t="s">
        <v>49</v>
      </c>
      <c r="AT22" t="s">
        <v>330</v>
      </c>
      <c r="AU22" t="s">
        <v>322</v>
      </c>
      <c r="AV22" t="s">
        <v>47</v>
      </c>
      <c r="AW22" t="s">
        <v>326</v>
      </c>
      <c r="AX22" t="s">
        <v>323</v>
      </c>
      <c r="AY22">
        <v>-1.4E-2</v>
      </c>
      <c r="AZ22">
        <v>14.837</v>
      </c>
      <c r="BA22">
        <v>0.25488</v>
      </c>
      <c r="BB22">
        <v>2.5847099999999998</v>
      </c>
      <c r="BC22">
        <v>-0.84</v>
      </c>
      <c r="BD22">
        <v>-4.2808496838008699E-2</v>
      </c>
      <c r="BE22" t="s">
        <v>329</v>
      </c>
      <c r="BF22" t="s">
        <v>320</v>
      </c>
    </row>
    <row r="23" spans="1:58" customFormat="1" x14ac:dyDescent="0.35">
      <c r="A23">
        <v>10</v>
      </c>
      <c r="B23">
        <v>10</v>
      </c>
      <c r="C23">
        <v>10</v>
      </c>
      <c r="D23">
        <v>10</v>
      </c>
      <c r="E23">
        <v>11</v>
      </c>
      <c r="F23">
        <v>12</v>
      </c>
      <c r="G23">
        <v>12</v>
      </c>
      <c r="H23">
        <v>10</v>
      </c>
      <c r="I23">
        <v>12</v>
      </c>
      <c r="J23">
        <v>13</v>
      </c>
      <c r="K23">
        <v>12</v>
      </c>
      <c r="L23">
        <v>12</v>
      </c>
      <c r="M23">
        <v>14</v>
      </c>
      <c r="N23">
        <v>14</v>
      </c>
      <c r="O23">
        <v>11</v>
      </c>
      <c r="P23">
        <v>15</v>
      </c>
      <c r="Q23">
        <v>17</v>
      </c>
      <c r="R23">
        <v>19</v>
      </c>
      <c r="S23">
        <v>24</v>
      </c>
      <c r="T23">
        <v>27</v>
      </c>
      <c r="U23">
        <v>31</v>
      </c>
      <c r="V23">
        <f>MAX(A23:U23)</f>
        <v>31</v>
      </c>
      <c r="W23" s="4" t="s">
        <v>71</v>
      </c>
      <c r="X23">
        <v>5.9987164403290511E-4</v>
      </c>
      <c r="Y23">
        <v>33.58</v>
      </c>
      <c r="Z23">
        <v>32</v>
      </c>
      <c r="AA23">
        <v>110.8</v>
      </c>
      <c r="AB23">
        <v>41</v>
      </c>
      <c r="AC23">
        <v>33.700000000000003</v>
      </c>
      <c r="AD23">
        <v>23</v>
      </c>
      <c r="AE23">
        <v>2183</v>
      </c>
      <c r="AF23">
        <v>28.3</v>
      </c>
      <c r="AG23">
        <v>32.799999999999997</v>
      </c>
      <c r="AH23">
        <v>19.3</v>
      </c>
      <c r="AI23">
        <v>45.7</v>
      </c>
      <c r="AJ23">
        <v>24.4</v>
      </c>
      <c r="AK23">
        <v>31.1</v>
      </c>
      <c r="AL23">
        <v>23</v>
      </c>
      <c r="AM23">
        <v>31.9</v>
      </c>
      <c r="AN23">
        <v>35</v>
      </c>
      <c r="AO23">
        <v>55.15</v>
      </c>
      <c r="AP23">
        <v>53.7</v>
      </c>
      <c r="AQ23">
        <v>48.65</v>
      </c>
      <c r="AR23">
        <v>178</v>
      </c>
      <c r="AS23" t="s">
        <v>46</v>
      </c>
      <c r="AT23" t="s">
        <v>315</v>
      </c>
      <c r="AU23" t="s">
        <v>325</v>
      </c>
      <c r="AV23" t="s">
        <v>52</v>
      </c>
      <c r="AW23" t="s">
        <v>317</v>
      </c>
      <c r="AX23" t="s">
        <v>318</v>
      </c>
      <c r="AY23">
        <v>4.2999999999999997E-2</v>
      </c>
      <c r="AZ23">
        <v>6.5330000000000004</v>
      </c>
      <c r="BA23">
        <v>0.67566999999999999</v>
      </c>
      <c r="BB23">
        <v>3.3000500000000001</v>
      </c>
      <c r="BC23">
        <v>2.5799999999999899</v>
      </c>
      <c r="BD23" s="7">
        <v>4.4228960596724498</v>
      </c>
      <c r="BE23" t="s">
        <v>319</v>
      </c>
      <c r="BF23" t="s">
        <v>320</v>
      </c>
    </row>
    <row r="24" spans="1:58" customFormat="1" x14ac:dyDescent="0.35">
      <c r="A24">
        <v>13</v>
      </c>
      <c r="B24">
        <v>13</v>
      </c>
      <c r="C24">
        <v>15</v>
      </c>
      <c r="D24">
        <v>18</v>
      </c>
      <c r="E24">
        <v>19</v>
      </c>
      <c r="F24">
        <v>23</v>
      </c>
      <c r="G24">
        <v>24</v>
      </c>
      <c r="H24">
        <v>18</v>
      </c>
      <c r="I24">
        <v>21</v>
      </c>
      <c r="J24">
        <v>22</v>
      </c>
      <c r="K24">
        <v>22</v>
      </c>
      <c r="L24">
        <v>20</v>
      </c>
      <c r="M24">
        <v>21</v>
      </c>
      <c r="N24">
        <v>22</v>
      </c>
      <c r="O24">
        <v>20</v>
      </c>
      <c r="P24">
        <v>20</v>
      </c>
      <c r="Q24">
        <v>24</v>
      </c>
      <c r="R24">
        <v>24</v>
      </c>
      <c r="S24">
        <v>19</v>
      </c>
      <c r="T24">
        <v>20</v>
      </c>
      <c r="U24">
        <v>20</v>
      </c>
      <c r="V24">
        <f>MAX(A24:U24)</f>
        <v>24</v>
      </c>
      <c r="W24" s="4" t="s">
        <v>72</v>
      </c>
      <c r="X24">
        <v>2.8008834720835941E-7</v>
      </c>
      <c r="Y24">
        <v>9.7100000000000009</v>
      </c>
      <c r="Z24">
        <v>31</v>
      </c>
      <c r="AA24">
        <v>55.9</v>
      </c>
      <c r="AB24">
        <v>39</v>
      </c>
      <c r="AC24">
        <v>22.3</v>
      </c>
      <c r="AD24">
        <v>4.5</v>
      </c>
      <c r="AE24">
        <v>1376</v>
      </c>
      <c r="AF24">
        <v>32.1</v>
      </c>
      <c r="AG24">
        <v>38.700000000000003</v>
      </c>
      <c r="AH24">
        <v>25.5</v>
      </c>
      <c r="AI24">
        <v>49.4</v>
      </c>
      <c r="AJ24">
        <v>14.8</v>
      </c>
      <c r="AK24">
        <v>21.4</v>
      </c>
      <c r="AL24">
        <v>12.7</v>
      </c>
      <c r="AM24">
        <v>21.2</v>
      </c>
      <c r="AN24">
        <v>19.8</v>
      </c>
      <c r="AO24">
        <v>36.700000000000003</v>
      </c>
      <c r="AP24">
        <v>46.15</v>
      </c>
      <c r="AQ24">
        <v>47.2</v>
      </c>
      <c r="AR24">
        <v>168</v>
      </c>
      <c r="AS24" t="s">
        <v>46</v>
      </c>
      <c r="AT24" t="s">
        <v>315</v>
      </c>
      <c r="AU24" t="s">
        <v>316</v>
      </c>
      <c r="AV24" t="s">
        <v>47</v>
      </c>
      <c r="AW24" t="s">
        <v>317</v>
      </c>
      <c r="AX24" t="s">
        <v>318</v>
      </c>
      <c r="AY24">
        <v>1.6E-2</v>
      </c>
      <c r="AZ24">
        <v>16.98</v>
      </c>
      <c r="BA24">
        <v>0.30953999999999998</v>
      </c>
      <c r="BB24">
        <v>2.5886399999999998</v>
      </c>
      <c r="BC24">
        <v>0.96</v>
      </c>
      <c r="BD24">
        <v>0.12647964974866199</v>
      </c>
      <c r="BE24" t="s">
        <v>319</v>
      </c>
      <c r="BF24" t="s">
        <v>320</v>
      </c>
    </row>
    <row r="25" spans="1:58" customFormat="1" x14ac:dyDescent="0.35">
      <c r="A25">
        <v>15</v>
      </c>
      <c r="B25">
        <v>16</v>
      </c>
      <c r="C25">
        <v>14</v>
      </c>
      <c r="D25">
        <v>14</v>
      </c>
      <c r="E25">
        <v>15</v>
      </c>
      <c r="F25">
        <v>14</v>
      </c>
      <c r="G25">
        <v>12</v>
      </c>
      <c r="H25">
        <v>10</v>
      </c>
      <c r="I25">
        <v>12</v>
      </c>
      <c r="J25">
        <v>12</v>
      </c>
      <c r="K25">
        <v>14</v>
      </c>
      <c r="L25">
        <v>16</v>
      </c>
      <c r="M25">
        <v>14</v>
      </c>
      <c r="N25">
        <v>14</v>
      </c>
      <c r="O25">
        <v>10</v>
      </c>
      <c r="P25">
        <v>14</v>
      </c>
      <c r="Q25">
        <v>16</v>
      </c>
      <c r="R25">
        <v>14</v>
      </c>
      <c r="S25">
        <v>14</v>
      </c>
      <c r="T25">
        <v>14</v>
      </c>
      <c r="U25">
        <v>15</v>
      </c>
      <c r="V25">
        <f>MAX(A25:U25)</f>
        <v>16</v>
      </c>
      <c r="W25" s="4" t="s">
        <v>73</v>
      </c>
      <c r="X25">
        <v>0.2360306116937736</v>
      </c>
      <c r="Y25">
        <v>2.75</v>
      </c>
      <c r="Z25">
        <v>31</v>
      </c>
      <c r="AA25">
        <v>65.3</v>
      </c>
      <c r="AB25">
        <v>44</v>
      </c>
      <c r="AC25">
        <v>19.100000000000001</v>
      </c>
      <c r="AD25">
        <v>7</v>
      </c>
      <c r="AE25">
        <v>1543</v>
      </c>
      <c r="AF25">
        <v>33.200000000000003</v>
      </c>
      <c r="AG25">
        <v>38.200000000000003</v>
      </c>
      <c r="AH25">
        <v>27.2</v>
      </c>
      <c r="AI25">
        <v>50.5</v>
      </c>
      <c r="AJ25">
        <v>13.3</v>
      </c>
      <c r="AK25">
        <v>18.2</v>
      </c>
      <c r="AL25">
        <v>11.6</v>
      </c>
      <c r="AM25">
        <v>17.7</v>
      </c>
      <c r="AN25">
        <v>22.1</v>
      </c>
      <c r="AO25">
        <v>39.299999999999997</v>
      </c>
      <c r="AP25">
        <v>47.05</v>
      </c>
      <c r="AQ25">
        <v>45.7</v>
      </c>
      <c r="AR25">
        <v>172</v>
      </c>
      <c r="AS25" t="s">
        <v>46</v>
      </c>
      <c r="AT25" t="s">
        <v>315</v>
      </c>
      <c r="AU25" t="s">
        <v>316</v>
      </c>
      <c r="AV25" t="s">
        <v>47</v>
      </c>
      <c r="AW25" t="s">
        <v>317</v>
      </c>
      <c r="AX25" t="s">
        <v>318</v>
      </c>
      <c r="AY25">
        <v>0</v>
      </c>
      <c r="AZ25">
        <v>13.728999999999999</v>
      </c>
      <c r="BA25">
        <v>1.3999999999999999E-4</v>
      </c>
      <c r="BB25">
        <v>1.6590499999999999</v>
      </c>
      <c r="BC25">
        <v>0</v>
      </c>
      <c r="BD25">
        <v>0.75693205772660899</v>
      </c>
      <c r="BE25" t="s">
        <v>328</v>
      </c>
      <c r="BF25" t="s">
        <v>320</v>
      </c>
    </row>
    <row r="26" spans="1:58" customFormat="1" x14ac:dyDescent="0.35">
      <c r="A26">
        <v>10</v>
      </c>
      <c r="B26">
        <v>10</v>
      </c>
      <c r="C26">
        <v>10</v>
      </c>
      <c r="D26">
        <v>10</v>
      </c>
      <c r="E26">
        <v>10</v>
      </c>
      <c r="F26">
        <v>10</v>
      </c>
      <c r="G26">
        <v>10</v>
      </c>
      <c r="H26">
        <v>10</v>
      </c>
      <c r="I26">
        <v>10</v>
      </c>
      <c r="J26">
        <v>10</v>
      </c>
      <c r="K26">
        <v>10</v>
      </c>
      <c r="L26">
        <v>11</v>
      </c>
      <c r="M26">
        <v>11</v>
      </c>
      <c r="N26">
        <v>11</v>
      </c>
      <c r="O26">
        <v>11</v>
      </c>
      <c r="P26">
        <v>12</v>
      </c>
      <c r="Q26">
        <v>12</v>
      </c>
      <c r="R26">
        <v>12</v>
      </c>
      <c r="S26">
        <v>12</v>
      </c>
      <c r="T26">
        <v>12</v>
      </c>
      <c r="U26">
        <v>12</v>
      </c>
      <c r="V26">
        <f>MAX(A26:U26)</f>
        <v>12</v>
      </c>
      <c r="W26" s="4" t="s">
        <v>74</v>
      </c>
      <c r="X26">
        <v>6.9658626723503939E-2</v>
      </c>
      <c r="Y26">
        <v>0.75</v>
      </c>
      <c r="Z26">
        <v>15</v>
      </c>
      <c r="AA26">
        <v>81.2</v>
      </c>
      <c r="AB26">
        <v>47</v>
      </c>
      <c r="AC26">
        <v>41.3</v>
      </c>
      <c r="AD26">
        <v>16</v>
      </c>
      <c r="AE26">
        <v>1533</v>
      </c>
      <c r="AF26">
        <v>21.4</v>
      </c>
      <c r="AG26">
        <v>17.7</v>
      </c>
      <c r="AH26">
        <v>14.6</v>
      </c>
      <c r="AI26">
        <v>35.1</v>
      </c>
      <c r="AJ26">
        <v>38.700000000000003</v>
      </c>
      <c r="AK26">
        <v>55</v>
      </c>
      <c r="AL26">
        <v>34.4</v>
      </c>
      <c r="AM26">
        <v>52.5</v>
      </c>
      <c r="AN26">
        <v>32.700000000000003</v>
      </c>
      <c r="AO26">
        <v>42.7</v>
      </c>
      <c r="AP26">
        <v>46.5</v>
      </c>
      <c r="AQ26">
        <v>41.25</v>
      </c>
      <c r="AR26">
        <v>157.5</v>
      </c>
      <c r="AS26" t="s">
        <v>49</v>
      </c>
      <c r="AT26" t="s">
        <v>315</v>
      </c>
      <c r="AU26" t="s">
        <v>316</v>
      </c>
      <c r="AV26" t="s">
        <v>52</v>
      </c>
      <c r="AW26" t="s">
        <v>317</v>
      </c>
      <c r="AX26" t="s">
        <v>323</v>
      </c>
      <c r="AY26">
        <v>7.0000000000000001E-3</v>
      </c>
      <c r="AZ26">
        <v>9.4390000000000001</v>
      </c>
      <c r="BA26">
        <v>0.81664000000000003</v>
      </c>
      <c r="BB26">
        <v>0.37153000000000003</v>
      </c>
      <c r="BC26">
        <v>0.42</v>
      </c>
      <c r="BD26">
        <v>0.62656072644721905</v>
      </c>
      <c r="BE26" t="s">
        <v>319</v>
      </c>
      <c r="BF26" t="s">
        <v>320</v>
      </c>
    </row>
    <row r="27" spans="1:58" customFormat="1" x14ac:dyDescent="0.35">
      <c r="A27">
        <v>16</v>
      </c>
      <c r="B27">
        <v>20</v>
      </c>
      <c r="C27">
        <v>22</v>
      </c>
      <c r="D27">
        <v>37</v>
      </c>
      <c r="E27">
        <v>34</v>
      </c>
      <c r="F27">
        <v>48</v>
      </c>
      <c r="G27">
        <v>48</v>
      </c>
      <c r="H27">
        <v>28</v>
      </c>
      <c r="I27">
        <v>28</v>
      </c>
      <c r="J27">
        <v>32</v>
      </c>
      <c r="K27">
        <v>36</v>
      </c>
      <c r="L27">
        <v>34</v>
      </c>
      <c r="M27">
        <v>34</v>
      </c>
      <c r="N27">
        <v>38</v>
      </c>
      <c r="O27">
        <v>28</v>
      </c>
      <c r="P27">
        <v>38</v>
      </c>
      <c r="Q27">
        <v>38</v>
      </c>
      <c r="R27">
        <v>48</v>
      </c>
      <c r="S27">
        <v>56</v>
      </c>
      <c r="T27">
        <v>56</v>
      </c>
      <c r="U27">
        <v>60</v>
      </c>
      <c r="V27">
        <f>MAX(A27:U27)</f>
        <v>60</v>
      </c>
      <c r="W27" s="4" t="s">
        <v>75</v>
      </c>
      <c r="X27">
        <v>4.4264168605521141E-4</v>
      </c>
      <c r="Y27">
        <v>136.56</v>
      </c>
      <c r="Z27">
        <v>27</v>
      </c>
      <c r="AA27">
        <v>59</v>
      </c>
      <c r="AB27">
        <v>43</v>
      </c>
      <c r="AC27">
        <v>22.2</v>
      </c>
      <c r="AD27">
        <v>7</v>
      </c>
      <c r="AE27">
        <v>1421</v>
      </c>
      <c r="AF27">
        <v>31.1</v>
      </c>
      <c r="AG27">
        <v>37.6</v>
      </c>
      <c r="AH27">
        <v>24.8</v>
      </c>
      <c r="AI27">
        <v>48.5</v>
      </c>
      <c r="AJ27">
        <v>15.1</v>
      </c>
      <c r="AK27">
        <v>21.2</v>
      </c>
      <c r="AL27">
        <v>13.2</v>
      </c>
      <c r="AM27">
        <v>21</v>
      </c>
      <c r="AN27">
        <v>21.9</v>
      </c>
      <c r="AO27">
        <v>37.299999999999997</v>
      </c>
      <c r="AP27">
        <v>46</v>
      </c>
      <c r="AQ27">
        <v>42.15</v>
      </c>
      <c r="AR27">
        <v>164</v>
      </c>
      <c r="AS27" t="s">
        <v>46</v>
      </c>
      <c r="AT27" t="s">
        <v>315</v>
      </c>
      <c r="AU27" t="s">
        <v>325</v>
      </c>
      <c r="AV27" t="s">
        <v>47</v>
      </c>
      <c r="AW27" t="s">
        <v>317</v>
      </c>
      <c r="AX27" t="s">
        <v>323</v>
      </c>
      <c r="AY27">
        <v>7.6999999999999999E-2</v>
      </c>
      <c r="AZ27">
        <v>22.774000000000001</v>
      </c>
      <c r="BA27">
        <v>0.52732000000000001</v>
      </c>
      <c r="BB27">
        <v>8.0343300000000006</v>
      </c>
      <c r="BC27">
        <v>4.62</v>
      </c>
      <c r="BD27">
        <v>7.5926706664504602</v>
      </c>
      <c r="BE27" t="s">
        <v>319</v>
      </c>
      <c r="BF27" t="s">
        <v>324</v>
      </c>
    </row>
    <row r="28" spans="1:58" customFormat="1" x14ac:dyDescent="0.35">
      <c r="A28">
        <v>10</v>
      </c>
      <c r="B28">
        <v>10</v>
      </c>
      <c r="C28">
        <v>10</v>
      </c>
      <c r="D28">
        <v>10</v>
      </c>
      <c r="E28">
        <v>10</v>
      </c>
      <c r="F28">
        <v>10</v>
      </c>
      <c r="G28">
        <v>10</v>
      </c>
      <c r="H28">
        <v>10</v>
      </c>
      <c r="I28">
        <v>10</v>
      </c>
      <c r="J28">
        <v>10</v>
      </c>
      <c r="K28">
        <v>10</v>
      </c>
      <c r="L28">
        <v>10</v>
      </c>
      <c r="M28">
        <v>10</v>
      </c>
      <c r="N28">
        <v>11</v>
      </c>
      <c r="O28">
        <v>11</v>
      </c>
      <c r="P28">
        <v>11</v>
      </c>
      <c r="Q28">
        <v>11</v>
      </c>
      <c r="R28">
        <v>12</v>
      </c>
      <c r="S28">
        <v>12</v>
      </c>
      <c r="T28">
        <v>12</v>
      </c>
      <c r="U28">
        <v>12</v>
      </c>
      <c r="V28">
        <f>MAX(A28:U28)</f>
        <v>12</v>
      </c>
      <c r="W28" s="4" t="s">
        <v>76</v>
      </c>
      <c r="X28">
        <v>6.5455877878287127E-4</v>
      </c>
      <c r="Y28">
        <v>0.63</v>
      </c>
      <c r="Z28">
        <v>32</v>
      </c>
      <c r="AA28">
        <v>78.900000000000006</v>
      </c>
      <c r="AB28">
        <v>42</v>
      </c>
      <c r="AC28">
        <v>32.200000000000003</v>
      </c>
      <c r="AD28">
        <v>9</v>
      </c>
      <c r="AE28">
        <v>1573</v>
      </c>
      <c r="AF28">
        <v>28</v>
      </c>
      <c r="AG28">
        <v>26</v>
      </c>
      <c r="AH28">
        <v>19.7</v>
      </c>
      <c r="AI28">
        <v>42.7</v>
      </c>
      <c r="AJ28">
        <v>31.2</v>
      </c>
      <c r="AK28">
        <v>41.3</v>
      </c>
      <c r="AL28">
        <v>26.2</v>
      </c>
      <c r="AM28">
        <v>37.299999999999997</v>
      </c>
      <c r="AN28">
        <v>28.6</v>
      </c>
      <c r="AO28">
        <v>44.1</v>
      </c>
      <c r="AP28">
        <v>46.75</v>
      </c>
      <c r="AQ28">
        <v>42.95</v>
      </c>
      <c r="AR28">
        <v>166</v>
      </c>
      <c r="AS28" t="s">
        <v>49</v>
      </c>
      <c r="AT28" t="s">
        <v>315</v>
      </c>
      <c r="AU28" t="s">
        <v>325</v>
      </c>
      <c r="AV28" t="s">
        <v>52</v>
      </c>
      <c r="AW28" t="s">
        <v>317</v>
      </c>
      <c r="AX28" t="s">
        <v>323</v>
      </c>
      <c r="AY28">
        <v>6.0000000000000001E-3</v>
      </c>
      <c r="AZ28">
        <v>9.4309999999999992</v>
      </c>
      <c r="BA28">
        <v>0.72907</v>
      </c>
      <c r="BB28">
        <v>0.41177999999999998</v>
      </c>
      <c r="BC28">
        <v>0.36</v>
      </c>
      <c r="BD28">
        <v>0.62656072644721905</v>
      </c>
      <c r="BE28" t="s">
        <v>319</v>
      </c>
      <c r="BF28" t="s">
        <v>320</v>
      </c>
    </row>
    <row r="29" spans="1:58" customFormat="1" x14ac:dyDescent="0.35">
      <c r="A29">
        <v>10</v>
      </c>
      <c r="B29">
        <v>10</v>
      </c>
      <c r="C29">
        <v>11</v>
      </c>
      <c r="D29">
        <v>12</v>
      </c>
      <c r="E29">
        <v>12</v>
      </c>
      <c r="F29">
        <v>13</v>
      </c>
      <c r="G29">
        <v>15</v>
      </c>
      <c r="H29">
        <v>12</v>
      </c>
      <c r="I29">
        <v>15</v>
      </c>
      <c r="J29">
        <v>20</v>
      </c>
      <c r="K29">
        <v>24</v>
      </c>
      <c r="L29">
        <v>27</v>
      </c>
      <c r="M29">
        <v>28</v>
      </c>
      <c r="N29">
        <v>28</v>
      </c>
      <c r="O29">
        <v>25</v>
      </c>
      <c r="P29">
        <v>28</v>
      </c>
      <c r="Q29">
        <v>30</v>
      </c>
      <c r="R29">
        <v>27</v>
      </c>
      <c r="S29">
        <v>31</v>
      </c>
      <c r="T29">
        <v>29</v>
      </c>
      <c r="U29">
        <v>29</v>
      </c>
      <c r="V29">
        <f>MAX(A29:U29)</f>
        <v>31</v>
      </c>
      <c r="W29" s="4" t="s">
        <v>89</v>
      </c>
      <c r="X29">
        <v>2.3926526725186209E-4</v>
      </c>
      <c r="Y29">
        <v>60.66</v>
      </c>
      <c r="Z29">
        <v>27</v>
      </c>
      <c r="AA29">
        <v>56.2</v>
      </c>
      <c r="AB29">
        <v>51</v>
      </c>
      <c r="AC29">
        <v>32</v>
      </c>
      <c r="AD29">
        <v>5</v>
      </c>
      <c r="AE29">
        <v>1203</v>
      </c>
      <c r="AF29">
        <v>24.5</v>
      </c>
      <c r="AG29">
        <v>26.8</v>
      </c>
      <c r="AH29">
        <v>18.899999999999999</v>
      </c>
      <c r="AI29">
        <v>36.5</v>
      </c>
      <c r="AJ29">
        <v>26.2</v>
      </c>
      <c r="AK29">
        <v>43.1</v>
      </c>
      <c r="AL29">
        <v>22.9</v>
      </c>
      <c r="AM29">
        <v>36.299999999999997</v>
      </c>
      <c r="AN29">
        <v>22</v>
      </c>
      <c r="AO29">
        <v>34.549999999999997</v>
      </c>
      <c r="AP29">
        <v>46.2</v>
      </c>
      <c r="AQ29">
        <v>41.95</v>
      </c>
      <c r="AR29">
        <v>160</v>
      </c>
      <c r="AS29" t="s">
        <v>49</v>
      </c>
      <c r="AT29" t="s">
        <v>315</v>
      </c>
      <c r="AU29" t="s">
        <v>321</v>
      </c>
      <c r="AV29" t="s">
        <v>47</v>
      </c>
      <c r="AW29" t="s">
        <v>317</v>
      </c>
      <c r="AX29" t="s">
        <v>323</v>
      </c>
      <c r="AY29">
        <v>6.7000000000000004E-2</v>
      </c>
      <c r="AZ29">
        <v>8.4019999999999992</v>
      </c>
      <c r="BA29">
        <v>0.88431999999999999</v>
      </c>
      <c r="BB29">
        <v>2.64899</v>
      </c>
      <c r="BC29">
        <v>4.0199999999999996</v>
      </c>
      <c r="BD29">
        <v>3.6834765688341098</v>
      </c>
      <c r="BE29" t="s">
        <v>319</v>
      </c>
      <c r="BF29" t="s">
        <v>324</v>
      </c>
    </row>
    <row r="30" spans="1:58" customFormat="1" x14ac:dyDescent="0.35">
      <c r="A30">
        <v>12</v>
      </c>
      <c r="B30">
        <v>13</v>
      </c>
      <c r="C30">
        <v>12</v>
      </c>
      <c r="D30">
        <v>15</v>
      </c>
      <c r="E30">
        <v>17</v>
      </c>
      <c r="F30">
        <v>21</v>
      </c>
      <c r="G30">
        <v>22</v>
      </c>
      <c r="H30">
        <v>18</v>
      </c>
      <c r="I30">
        <v>22</v>
      </c>
      <c r="J30">
        <v>22</v>
      </c>
      <c r="K30">
        <v>28</v>
      </c>
      <c r="L30">
        <v>31</v>
      </c>
      <c r="M30">
        <v>32</v>
      </c>
      <c r="N30">
        <v>32</v>
      </c>
      <c r="O30">
        <v>32</v>
      </c>
      <c r="P30">
        <v>42</v>
      </c>
      <c r="Q30">
        <v>42</v>
      </c>
      <c r="R30">
        <v>52</v>
      </c>
      <c r="S30">
        <v>52</v>
      </c>
      <c r="T30">
        <v>52</v>
      </c>
      <c r="U30">
        <v>52</v>
      </c>
      <c r="V30">
        <f>MAX(A30:U30)</f>
        <v>52</v>
      </c>
      <c r="W30" s="4" t="s">
        <v>77</v>
      </c>
      <c r="X30">
        <v>2.4523583696738501E-5</v>
      </c>
      <c r="Y30">
        <v>189.77</v>
      </c>
      <c r="Z30">
        <v>31</v>
      </c>
      <c r="AA30">
        <v>48.5</v>
      </c>
      <c r="AB30">
        <v>58</v>
      </c>
      <c r="AC30">
        <v>26.9</v>
      </c>
      <c r="AD30">
        <v>1.5</v>
      </c>
      <c r="AE30">
        <v>1102</v>
      </c>
      <c r="AF30">
        <v>26.1</v>
      </c>
      <c r="AG30">
        <v>30.4</v>
      </c>
      <c r="AH30">
        <v>20.8</v>
      </c>
      <c r="AI30">
        <v>38.1</v>
      </c>
      <c r="AJ30">
        <v>21</v>
      </c>
      <c r="AK30">
        <v>36.9</v>
      </c>
      <c r="AL30">
        <v>17.600000000000001</v>
      </c>
      <c r="AM30">
        <v>29.3</v>
      </c>
      <c r="AN30">
        <v>18.3</v>
      </c>
      <c r="AO30">
        <v>36.5</v>
      </c>
      <c r="AP30">
        <v>45</v>
      </c>
      <c r="AQ30">
        <v>44.85</v>
      </c>
      <c r="AR30">
        <v>163</v>
      </c>
      <c r="AS30" t="s">
        <v>49</v>
      </c>
      <c r="AT30" t="s">
        <v>315</v>
      </c>
      <c r="AU30" t="s">
        <v>316</v>
      </c>
      <c r="AV30" t="s">
        <v>47</v>
      </c>
      <c r="AW30" t="s">
        <v>326</v>
      </c>
      <c r="AX30" t="s">
        <v>323</v>
      </c>
      <c r="AY30">
        <v>0.122</v>
      </c>
      <c r="AZ30">
        <v>7.0359999999999996</v>
      </c>
      <c r="BA30">
        <v>0.93964000000000003</v>
      </c>
      <c r="BB30">
        <v>3.3845000000000001</v>
      </c>
      <c r="BC30">
        <v>7.32</v>
      </c>
      <c r="BD30">
        <v>9.2680395654288894</v>
      </c>
      <c r="BE30" t="s">
        <v>319</v>
      </c>
      <c r="BF30" t="s">
        <v>324</v>
      </c>
    </row>
    <row r="31" spans="1:58" customFormat="1" x14ac:dyDescent="0.35">
      <c r="A31">
        <v>10</v>
      </c>
      <c r="B31">
        <v>11</v>
      </c>
      <c r="C31">
        <v>11</v>
      </c>
      <c r="D31">
        <v>11</v>
      </c>
      <c r="E31">
        <v>11</v>
      </c>
      <c r="F31">
        <v>11</v>
      </c>
      <c r="G31">
        <v>11</v>
      </c>
      <c r="H31">
        <v>10</v>
      </c>
      <c r="I31">
        <v>12</v>
      </c>
      <c r="J31">
        <v>16</v>
      </c>
      <c r="K31">
        <v>16</v>
      </c>
      <c r="L31">
        <v>18</v>
      </c>
      <c r="M31">
        <v>19</v>
      </c>
      <c r="N31">
        <v>26</v>
      </c>
      <c r="O31">
        <v>24</v>
      </c>
      <c r="P31">
        <v>32</v>
      </c>
      <c r="Q31">
        <v>32</v>
      </c>
      <c r="R31">
        <v>34</v>
      </c>
      <c r="S31">
        <v>42</v>
      </c>
      <c r="T31">
        <v>40</v>
      </c>
      <c r="U31">
        <v>48</v>
      </c>
      <c r="V31">
        <f>MAX(A31:U31)</f>
        <v>48</v>
      </c>
      <c r="W31" s="4" t="s">
        <v>78</v>
      </c>
      <c r="X31" s="13">
        <v>0.28634263691373818</v>
      </c>
      <c r="Y31">
        <v>141.01</v>
      </c>
      <c r="Z31">
        <v>32</v>
      </c>
      <c r="AA31">
        <v>86.8</v>
      </c>
      <c r="AB31">
        <v>55</v>
      </c>
      <c r="AC31">
        <v>29</v>
      </c>
      <c r="AD31">
        <v>17</v>
      </c>
      <c r="AE31">
        <v>1834</v>
      </c>
      <c r="AF31">
        <v>29.2</v>
      </c>
      <c r="AG31">
        <v>34.5</v>
      </c>
      <c r="AH31">
        <v>21.4</v>
      </c>
      <c r="AI31">
        <v>46.6</v>
      </c>
      <c r="AJ31">
        <v>20.5</v>
      </c>
      <c r="AK31">
        <v>25.6</v>
      </c>
      <c r="AL31">
        <v>18.8</v>
      </c>
      <c r="AM31">
        <v>26.1</v>
      </c>
      <c r="AN31">
        <v>29</v>
      </c>
      <c r="AO31">
        <v>43</v>
      </c>
      <c r="AP31">
        <v>49.5</v>
      </c>
      <c r="AQ31">
        <v>48.85</v>
      </c>
      <c r="AR31">
        <v>173</v>
      </c>
      <c r="AS31" t="s">
        <v>46</v>
      </c>
      <c r="AT31" t="s">
        <v>315</v>
      </c>
      <c r="AU31" t="s">
        <v>316</v>
      </c>
      <c r="AV31" t="s">
        <v>52</v>
      </c>
      <c r="AW31" t="s">
        <v>326</v>
      </c>
      <c r="AX31" t="s">
        <v>318</v>
      </c>
      <c r="AY31">
        <v>0.1</v>
      </c>
      <c r="AZ31">
        <v>2.6429999999999998</v>
      </c>
      <c r="BA31">
        <v>0.85657000000000005</v>
      </c>
      <c r="BB31">
        <v>4.4972000000000003</v>
      </c>
      <c r="BC31">
        <v>6</v>
      </c>
      <c r="BD31">
        <v>9.0890222150153992</v>
      </c>
      <c r="BE31" t="s">
        <v>319</v>
      </c>
      <c r="BF31" t="s">
        <v>324</v>
      </c>
    </row>
    <row r="32" spans="1:58" customFormat="1" x14ac:dyDescent="0.35">
      <c r="A32">
        <v>68</v>
      </c>
      <c r="B32">
        <v>66</v>
      </c>
      <c r="C32">
        <v>65</v>
      </c>
      <c r="D32">
        <v>56</v>
      </c>
      <c r="E32">
        <v>56</v>
      </c>
      <c r="F32">
        <v>56</v>
      </c>
      <c r="G32">
        <v>55</v>
      </c>
      <c r="H32">
        <v>66</v>
      </c>
      <c r="I32">
        <v>64</v>
      </c>
      <c r="J32">
        <v>61</v>
      </c>
      <c r="K32">
        <v>62</v>
      </c>
      <c r="L32">
        <v>58</v>
      </c>
      <c r="M32">
        <v>57</v>
      </c>
      <c r="N32">
        <v>58</v>
      </c>
      <c r="O32">
        <v>68</v>
      </c>
      <c r="P32">
        <v>60</v>
      </c>
      <c r="Q32">
        <v>57</v>
      </c>
      <c r="R32">
        <v>57</v>
      </c>
      <c r="S32">
        <v>56</v>
      </c>
      <c r="T32">
        <v>54</v>
      </c>
      <c r="U32">
        <v>54</v>
      </c>
      <c r="V32">
        <f>MAX(A32:U32)</f>
        <v>68</v>
      </c>
      <c r="W32" s="4" t="s">
        <v>79</v>
      </c>
      <c r="X32">
        <v>1.26259819908963E-3</v>
      </c>
      <c r="Y32">
        <v>20.97</v>
      </c>
      <c r="Z32">
        <v>20</v>
      </c>
      <c r="AA32">
        <v>58.8</v>
      </c>
      <c r="AB32">
        <v>52</v>
      </c>
      <c r="AC32">
        <v>29.4</v>
      </c>
      <c r="AD32">
        <v>4</v>
      </c>
      <c r="AE32">
        <v>1258</v>
      </c>
      <c r="AF32">
        <v>26.2</v>
      </c>
      <c r="AG32">
        <v>28.3</v>
      </c>
      <c r="AH32">
        <v>20.2</v>
      </c>
      <c r="AI32">
        <v>39</v>
      </c>
      <c r="AJ32">
        <v>24.7</v>
      </c>
      <c r="AK32">
        <v>39.799999999999997</v>
      </c>
      <c r="AL32">
        <v>21</v>
      </c>
      <c r="AM32">
        <v>33.5</v>
      </c>
      <c r="AN32">
        <v>21.6</v>
      </c>
      <c r="AO32">
        <v>40.950000000000003</v>
      </c>
      <c r="AP32">
        <v>44.8</v>
      </c>
      <c r="AQ32">
        <v>44.1</v>
      </c>
      <c r="AR32">
        <v>165</v>
      </c>
      <c r="AS32" t="s">
        <v>49</v>
      </c>
      <c r="AT32" t="s">
        <v>315</v>
      </c>
      <c r="AU32" t="s">
        <v>321</v>
      </c>
      <c r="AV32" t="s">
        <v>47</v>
      </c>
      <c r="AW32" t="s">
        <v>317</v>
      </c>
      <c r="AX32" t="s">
        <v>323</v>
      </c>
      <c r="AY32">
        <v>-2.1000000000000001E-2</v>
      </c>
      <c r="AZ32">
        <v>63.585000000000001</v>
      </c>
      <c r="BA32">
        <v>0.25091999999999998</v>
      </c>
      <c r="BB32">
        <v>3.96299</v>
      </c>
      <c r="BC32">
        <v>-1.26</v>
      </c>
      <c r="BD32">
        <v>-2.4673260904815901</v>
      </c>
      <c r="BE32" t="s">
        <v>329</v>
      </c>
      <c r="BF32" t="s">
        <v>320</v>
      </c>
    </row>
    <row r="33" spans="1:58" customFormat="1" x14ac:dyDescent="0.35">
      <c r="A33">
        <v>10</v>
      </c>
      <c r="B33">
        <v>10</v>
      </c>
      <c r="C33">
        <v>12</v>
      </c>
      <c r="D33">
        <v>15</v>
      </c>
      <c r="E33">
        <v>20</v>
      </c>
      <c r="F33">
        <v>24</v>
      </c>
      <c r="G33">
        <v>32</v>
      </c>
      <c r="H33">
        <v>20</v>
      </c>
      <c r="I33">
        <v>20</v>
      </c>
      <c r="J33">
        <v>25</v>
      </c>
      <c r="K33">
        <v>25</v>
      </c>
      <c r="L33">
        <v>25</v>
      </c>
      <c r="M33">
        <v>24</v>
      </c>
      <c r="N33">
        <v>24</v>
      </c>
      <c r="O33">
        <v>20</v>
      </c>
      <c r="P33">
        <v>22</v>
      </c>
      <c r="Q33">
        <v>25</v>
      </c>
      <c r="R33">
        <v>28</v>
      </c>
      <c r="S33">
        <v>25</v>
      </c>
      <c r="T33">
        <v>27</v>
      </c>
      <c r="U33">
        <v>22</v>
      </c>
      <c r="V33">
        <f>MAX(A33:U33)</f>
        <v>32</v>
      </c>
      <c r="W33" s="4" t="s">
        <v>80</v>
      </c>
      <c r="X33">
        <v>8.7409295862472999E-7</v>
      </c>
      <c r="Y33">
        <v>31.84</v>
      </c>
      <c r="Z33">
        <v>24</v>
      </c>
      <c r="AA33">
        <v>48.7</v>
      </c>
      <c r="AB33">
        <v>54</v>
      </c>
      <c r="AC33">
        <v>26.9</v>
      </c>
      <c r="AD33">
        <v>2</v>
      </c>
      <c r="AE33">
        <v>1105</v>
      </c>
      <c r="AF33">
        <v>26.1</v>
      </c>
      <c r="AG33">
        <v>30.3</v>
      </c>
      <c r="AH33">
        <v>20.8</v>
      </c>
      <c r="AI33">
        <v>38.299999999999997</v>
      </c>
      <c r="AJ33">
        <v>21.5</v>
      </c>
      <c r="AK33">
        <v>36.9</v>
      </c>
      <c r="AL33">
        <v>18</v>
      </c>
      <c r="AM33">
        <v>30</v>
      </c>
      <c r="AN33">
        <v>19</v>
      </c>
      <c r="AO33">
        <v>37.5</v>
      </c>
      <c r="AP33">
        <v>43.35</v>
      </c>
      <c r="AQ33">
        <v>43.15</v>
      </c>
      <c r="AR33">
        <v>160</v>
      </c>
      <c r="AS33" t="s">
        <v>49</v>
      </c>
      <c r="AT33" t="s">
        <v>330</v>
      </c>
      <c r="AU33" t="s">
        <v>322</v>
      </c>
      <c r="AV33" t="s">
        <v>47</v>
      </c>
      <c r="AW33" t="s">
        <v>326</v>
      </c>
      <c r="AX33" t="s">
        <v>323</v>
      </c>
      <c r="AY33">
        <v>3.4000000000000002E-2</v>
      </c>
      <c r="AZ33">
        <v>15.428000000000001</v>
      </c>
      <c r="BA33">
        <v>0.42919000000000002</v>
      </c>
      <c r="BB33">
        <v>4.2632599999999998</v>
      </c>
      <c r="BC33">
        <v>2.04</v>
      </c>
      <c r="BD33">
        <v>0.852278255229447</v>
      </c>
      <c r="BE33" t="s">
        <v>319</v>
      </c>
      <c r="BF33" t="s">
        <v>320</v>
      </c>
    </row>
    <row r="34" spans="1:58" customFormat="1" x14ac:dyDescent="0.35">
      <c r="A34">
        <v>10</v>
      </c>
      <c r="B34">
        <v>10</v>
      </c>
      <c r="C34">
        <v>18</v>
      </c>
      <c r="D34">
        <v>21</v>
      </c>
      <c r="E34">
        <v>24</v>
      </c>
      <c r="F34">
        <v>25</v>
      </c>
      <c r="G34">
        <v>30</v>
      </c>
      <c r="H34">
        <v>24</v>
      </c>
      <c r="I34">
        <v>30</v>
      </c>
      <c r="J34">
        <v>32</v>
      </c>
      <c r="K34">
        <v>34</v>
      </c>
      <c r="L34">
        <v>36</v>
      </c>
      <c r="M34">
        <v>36</v>
      </c>
      <c r="N34">
        <v>34</v>
      </c>
      <c r="O34">
        <v>26</v>
      </c>
      <c r="P34">
        <v>32</v>
      </c>
      <c r="Q34">
        <v>34</v>
      </c>
      <c r="R34">
        <v>40</v>
      </c>
      <c r="S34">
        <v>40</v>
      </c>
      <c r="T34">
        <v>40</v>
      </c>
      <c r="U34">
        <v>40</v>
      </c>
      <c r="V34">
        <f>MAX(A34:U34)</f>
        <v>40</v>
      </c>
      <c r="W34" s="4" t="s">
        <v>90</v>
      </c>
      <c r="X34">
        <v>2.4164010327061811E-8</v>
      </c>
      <c r="Y34">
        <v>78.89</v>
      </c>
      <c r="Z34">
        <v>32</v>
      </c>
      <c r="AA34">
        <v>56.3</v>
      </c>
      <c r="AB34">
        <v>55</v>
      </c>
      <c r="AC34">
        <v>30.9</v>
      </c>
      <c r="AD34">
        <v>7</v>
      </c>
      <c r="AE34">
        <v>1209</v>
      </c>
      <c r="AF34">
        <v>25</v>
      </c>
      <c r="AG34">
        <v>27.3</v>
      </c>
      <c r="AH34">
        <v>18.8</v>
      </c>
      <c r="AI34">
        <v>38.5</v>
      </c>
      <c r="AJ34">
        <v>27.4</v>
      </c>
      <c r="AK34">
        <v>40.700000000000003</v>
      </c>
      <c r="AL34">
        <v>23.3</v>
      </c>
      <c r="AM34">
        <v>35</v>
      </c>
      <c r="AN34">
        <v>24.4</v>
      </c>
      <c r="AO34">
        <v>39.35</v>
      </c>
      <c r="AP34">
        <v>43.3</v>
      </c>
      <c r="AQ34">
        <v>39.1</v>
      </c>
      <c r="AR34">
        <v>152</v>
      </c>
      <c r="AS34" t="s">
        <v>49</v>
      </c>
      <c r="AT34" t="s">
        <v>315</v>
      </c>
      <c r="AU34" t="s">
        <v>322</v>
      </c>
      <c r="AV34" t="s">
        <v>47</v>
      </c>
      <c r="AW34" t="s">
        <v>326</v>
      </c>
      <c r="AX34" t="s">
        <v>323</v>
      </c>
      <c r="AY34">
        <v>7.2999999999999995E-2</v>
      </c>
      <c r="AZ34">
        <v>15.866</v>
      </c>
      <c r="BA34">
        <v>0.80720000000000003</v>
      </c>
      <c r="BB34">
        <v>3.9</v>
      </c>
      <c r="BC34">
        <v>4.38</v>
      </c>
      <c r="BD34">
        <v>2.9771363710069698</v>
      </c>
      <c r="BE34" t="s">
        <v>319</v>
      </c>
      <c r="BF34" t="s">
        <v>324</v>
      </c>
    </row>
    <row r="35" spans="1:58" customFormat="1" x14ac:dyDescent="0.35">
      <c r="A35">
        <v>10</v>
      </c>
      <c r="B35">
        <v>12</v>
      </c>
      <c r="C35">
        <v>12</v>
      </c>
      <c r="D35">
        <v>12</v>
      </c>
      <c r="E35">
        <v>12</v>
      </c>
      <c r="F35">
        <v>14</v>
      </c>
      <c r="G35">
        <v>14</v>
      </c>
      <c r="H35">
        <v>11</v>
      </c>
      <c r="I35">
        <v>13</v>
      </c>
      <c r="J35">
        <v>14</v>
      </c>
      <c r="K35">
        <v>14</v>
      </c>
      <c r="L35">
        <v>14</v>
      </c>
      <c r="M35">
        <v>14</v>
      </c>
      <c r="N35">
        <v>14</v>
      </c>
      <c r="O35">
        <v>11</v>
      </c>
      <c r="P35">
        <v>12</v>
      </c>
      <c r="Q35">
        <v>11</v>
      </c>
      <c r="R35">
        <v>11</v>
      </c>
      <c r="S35">
        <v>11</v>
      </c>
      <c r="T35">
        <v>13</v>
      </c>
      <c r="U35">
        <v>13</v>
      </c>
      <c r="V35">
        <f>MAX(A35:U35)</f>
        <v>14</v>
      </c>
      <c r="W35" s="4" t="s">
        <v>81</v>
      </c>
      <c r="X35">
        <v>0.54743982455301943</v>
      </c>
      <c r="Y35">
        <v>1.68</v>
      </c>
      <c r="Z35">
        <v>16</v>
      </c>
      <c r="AA35">
        <v>77.400000000000006</v>
      </c>
      <c r="AB35">
        <v>41</v>
      </c>
      <c r="AC35">
        <v>24.4</v>
      </c>
      <c r="AD35">
        <v>9.5</v>
      </c>
      <c r="AE35">
        <v>1718</v>
      </c>
      <c r="AF35">
        <v>31.9</v>
      </c>
      <c r="AG35">
        <v>36.799999999999997</v>
      </c>
      <c r="AH35">
        <v>24.7</v>
      </c>
      <c r="AI35">
        <v>49.2</v>
      </c>
      <c r="AJ35">
        <v>16.899999999999999</v>
      </c>
      <c r="AK35">
        <v>23.1</v>
      </c>
      <c r="AL35">
        <v>15.1</v>
      </c>
      <c r="AM35">
        <v>23</v>
      </c>
      <c r="AN35">
        <v>24.4</v>
      </c>
      <c r="AO35">
        <v>40.049999999999997</v>
      </c>
      <c r="AP35">
        <v>51.15</v>
      </c>
      <c r="AQ35">
        <v>50.05</v>
      </c>
      <c r="AR35">
        <v>178</v>
      </c>
      <c r="AS35" t="s">
        <v>46</v>
      </c>
      <c r="AT35" t="s">
        <v>315</v>
      </c>
      <c r="AU35" t="s">
        <v>321</v>
      </c>
      <c r="AV35" t="s">
        <v>47</v>
      </c>
      <c r="AW35" t="s">
        <v>317</v>
      </c>
      <c r="AX35" t="s">
        <v>318</v>
      </c>
      <c r="AY35">
        <v>1E-3</v>
      </c>
      <c r="AZ35">
        <v>12.33</v>
      </c>
      <c r="BA35">
        <v>4.4999999999999997E-3</v>
      </c>
      <c r="BB35">
        <v>1.2924599999999999</v>
      </c>
      <c r="BC35">
        <v>0.06</v>
      </c>
      <c r="BD35">
        <v>-0.28798443327387702</v>
      </c>
      <c r="BE35" t="s">
        <v>319</v>
      </c>
      <c r="BF35" t="s">
        <v>320</v>
      </c>
    </row>
    <row r="36" spans="1:58" customFormat="1" x14ac:dyDescent="0.35">
      <c r="A36">
        <v>10</v>
      </c>
      <c r="B36">
        <v>12</v>
      </c>
      <c r="C36">
        <v>11</v>
      </c>
      <c r="D36">
        <v>13</v>
      </c>
      <c r="E36">
        <v>12</v>
      </c>
      <c r="F36">
        <v>13</v>
      </c>
      <c r="G36">
        <v>14</v>
      </c>
      <c r="H36">
        <v>10</v>
      </c>
      <c r="I36">
        <v>11</v>
      </c>
      <c r="J36">
        <v>12</v>
      </c>
      <c r="K36">
        <v>12</v>
      </c>
      <c r="L36">
        <v>13</v>
      </c>
      <c r="M36">
        <v>10</v>
      </c>
      <c r="N36">
        <v>10</v>
      </c>
      <c r="O36">
        <v>10</v>
      </c>
      <c r="P36">
        <v>10</v>
      </c>
      <c r="Q36">
        <v>12</v>
      </c>
      <c r="R36">
        <v>12</v>
      </c>
      <c r="S36">
        <v>12</v>
      </c>
      <c r="T36">
        <v>10</v>
      </c>
      <c r="U36">
        <v>10</v>
      </c>
      <c r="V36">
        <f>MAX(A36:U36)</f>
        <v>14</v>
      </c>
      <c r="W36" s="4" t="s">
        <v>91</v>
      </c>
      <c r="X36">
        <v>0.864700678231069</v>
      </c>
      <c r="Y36">
        <v>1.57</v>
      </c>
      <c r="Z36">
        <v>30</v>
      </c>
      <c r="AA36">
        <v>57.2</v>
      </c>
      <c r="AB36">
        <v>49</v>
      </c>
      <c r="AC36">
        <v>29.2</v>
      </c>
      <c r="AD36">
        <v>4.5</v>
      </c>
      <c r="AE36">
        <v>1233</v>
      </c>
      <c r="AF36">
        <v>26.1</v>
      </c>
      <c r="AG36">
        <v>28.5</v>
      </c>
      <c r="AH36">
        <v>20.2</v>
      </c>
      <c r="AI36">
        <v>39.4</v>
      </c>
      <c r="AJ36">
        <v>25.3</v>
      </c>
      <c r="AK36">
        <v>39.4</v>
      </c>
      <c r="AL36">
        <v>21.3</v>
      </c>
      <c r="AM36">
        <v>33.799999999999997</v>
      </c>
      <c r="AN36">
        <v>22.6</v>
      </c>
      <c r="AO36">
        <v>38.299999999999997</v>
      </c>
      <c r="AP36">
        <v>44.65</v>
      </c>
      <c r="AQ36">
        <v>42.05</v>
      </c>
      <c r="AR36">
        <v>159</v>
      </c>
      <c r="AS36" t="s">
        <v>49</v>
      </c>
      <c r="AT36" t="s">
        <v>330</v>
      </c>
      <c r="AU36" t="s">
        <v>316</v>
      </c>
      <c r="AV36" t="s">
        <v>47</v>
      </c>
      <c r="AW36" t="s">
        <v>317</v>
      </c>
      <c r="AX36" t="s">
        <v>323</v>
      </c>
      <c r="AY36">
        <v>-3.0000000000000001E-3</v>
      </c>
      <c r="AZ36">
        <v>12</v>
      </c>
      <c r="BA36">
        <v>8.5870000000000002E-2</v>
      </c>
      <c r="BB36">
        <v>1.19767</v>
      </c>
      <c r="BC36">
        <v>-0.18</v>
      </c>
      <c r="BD36">
        <v>-0.112858764391113</v>
      </c>
      <c r="BE36" t="s">
        <v>329</v>
      </c>
      <c r="BF36" t="s">
        <v>320</v>
      </c>
    </row>
    <row r="37" spans="1:58" customFormat="1" x14ac:dyDescent="0.35">
      <c r="A37">
        <v>10</v>
      </c>
      <c r="B37">
        <v>10</v>
      </c>
      <c r="C37">
        <v>10</v>
      </c>
      <c r="D37">
        <v>11</v>
      </c>
      <c r="E37">
        <v>10</v>
      </c>
      <c r="F37">
        <v>10</v>
      </c>
      <c r="G37">
        <v>10</v>
      </c>
      <c r="H37">
        <v>10</v>
      </c>
      <c r="I37">
        <v>10</v>
      </c>
      <c r="J37">
        <v>10</v>
      </c>
      <c r="K37">
        <v>10</v>
      </c>
      <c r="L37">
        <v>10</v>
      </c>
      <c r="M37">
        <v>10</v>
      </c>
      <c r="N37">
        <v>11</v>
      </c>
      <c r="O37">
        <v>11</v>
      </c>
      <c r="P37">
        <v>10</v>
      </c>
      <c r="Q37">
        <v>10</v>
      </c>
      <c r="R37">
        <v>10</v>
      </c>
      <c r="S37">
        <v>10</v>
      </c>
      <c r="T37">
        <v>10</v>
      </c>
      <c r="U37">
        <v>10</v>
      </c>
      <c r="V37">
        <f>MAX(A37:U37)</f>
        <v>11</v>
      </c>
      <c r="W37" s="4" t="s">
        <v>92</v>
      </c>
      <c r="X37">
        <v>0.96075226810180181</v>
      </c>
      <c r="Y37">
        <v>0.12</v>
      </c>
      <c r="Z37">
        <v>25</v>
      </c>
      <c r="AA37">
        <v>54</v>
      </c>
      <c r="AB37">
        <v>53</v>
      </c>
      <c r="AC37">
        <v>34.9</v>
      </c>
      <c r="AD37">
        <v>7</v>
      </c>
      <c r="AE37">
        <v>1154</v>
      </c>
      <c r="AF37">
        <v>22.4</v>
      </c>
      <c r="AG37">
        <v>24.9</v>
      </c>
      <c r="AH37">
        <v>17</v>
      </c>
      <c r="AI37">
        <v>35.1</v>
      </c>
      <c r="AJ37">
        <v>29.1</v>
      </c>
      <c r="AK37">
        <v>46.3</v>
      </c>
      <c r="AL37">
        <v>25.9</v>
      </c>
      <c r="AM37">
        <v>39.5</v>
      </c>
      <c r="AN37">
        <v>24</v>
      </c>
      <c r="AO37">
        <v>37.450000000000003</v>
      </c>
      <c r="AP37">
        <v>44.65</v>
      </c>
      <c r="AQ37">
        <v>43.6</v>
      </c>
      <c r="AR37">
        <v>150</v>
      </c>
      <c r="AS37" t="s">
        <v>49</v>
      </c>
      <c r="AT37" t="s">
        <v>330</v>
      </c>
      <c r="AU37" t="s">
        <v>322</v>
      </c>
      <c r="AV37" t="s">
        <v>47</v>
      </c>
      <c r="AW37" t="s">
        <v>326</v>
      </c>
      <c r="AX37" t="s">
        <v>323</v>
      </c>
      <c r="AY37">
        <v>0</v>
      </c>
      <c r="AZ37">
        <v>10.143000000000001</v>
      </c>
      <c r="BA37">
        <v>0</v>
      </c>
      <c r="BB37">
        <v>0.34993000000000002</v>
      </c>
      <c r="BC37">
        <v>0</v>
      </c>
      <c r="BD37">
        <v>0</v>
      </c>
      <c r="BE37" t="s">
        <v>328</v>
      </c>
      <c r="BF37" t="s">
        <v>320</v>
      </c>
    </row>
    <row r="38" spans="1:58" customFormat="1" x14ac:dyDescent="0.35">
      <c r="A38">
        <v>10</v>
      </c>
      <c r="B38">
        <v>10</v>
      </c>
      <c r="C38">
        <v>10</v>
      </c>
      <c r="D38">
        <v>10</v>
      </c>
      <c r="E38">
        <v>11</v>
      </c>
      <c r="F38">
        <v>11</v>
      </c>
      <c r="G38">
        <v>11</v>
      </c>
      <c r="H38">
        <v>11</v>
      </c>
      <c r="I38">
        <v>11</v>
      </c>
      <c r="J38">
        <v>11</v>
      </c>
      <c r="K38">
        <v>12</v>
      </c>
      <c r="L38">
        <v>14</v>
      </c>
      <c r="M38">
        <v>14</v>
      </c>
      <c r="N38">
        <v>17</v>
      </c>
      <c r="O38">
        <v>17</v>
      </c>
      <c r="P38">
        <v>17</v>
      </c>
      <c r="Q38">
        <v>17</v>
      </c>
      <c r="R38">
        <v>18</v>
      </c>
      <c r="S38">
        <v>18</v>
      </c>
      <c r="T38">
        <v>18</v>
      </c>
      <c r="U38">
        <v>18</v>
      </c>
      <c r="V38">
        <f>MAX(A38:U38)</f>
        <v>18</v>
      </c>
      <c r="W38" s="4" t="s">
        <v>93</v>
      </c>
      <c r="X38">
        <v>4.6492492556377978E-4</v>
      </c>
      <c r="Y38">
        <v>10.43</v>
      </c>
      <c r="Z38">
        <v>18</v>
      </c>
      <c r="AA38">
        <v>48.8</v>
      </c>
      <c r="AB38">
        <v>60</v>
      </c>
      <c r="AC38">
        <v>35.700000000000003</v>
      </c>
      <c r="AD38">
        <v>6</v>
      </c>
      <c r="AE38">
        <v>1070</v>
      </c>
      <c r="AF38">
        <v>21.4</v>
      </c>
      <c r="AG38">
        <v>24.8</v>
      </c>
      <c r="AH38">
        <v>16.100000000000001</v>
      </c>
      <c r="AI38">
        <v>33.4</v>
      </c>
      <c r="AJ38">
        <v>28.3</v>
      </c>
      <c r="AK38">
        <v>46.7</v>
      </c>
      <c r="AL38">
        <v>25.6</v>
      </c>
      <c r="AM38">
        <v>38.1</v>
      </c>
      <c r="AN38">
        <v>22.3</v>
      </c>
      <c r="AO38">
        <v>37.25</v>
      </c>
      <c r="AP38">
        <v>41.8</v>
      </c>
      <c r="AQ38">
        <v>38.549999999999997</v>
      </c>
      <c r="AR38">
        <v>148</v>
      </c>
      <c r="AS38" t="s">
        <v>49</v>
      </c>
      <c r="AT38" t="s">
        <v>330</v>
      </c>
      <c r="AU38" t="s">
        <v>322</v>
      </c>
      <c r="AV38" t="s">
        <v>47</v>
      </c>
      <c r="AW38" t="s">
        <v>326</v>
      </c>
      <c r="AX38" t="s">
        <v>323</v>
      </c>
      <c r="AY38">
        <v>2.8000000000000001E-2</v>
      </c>
      <c r="AZ38">
        <v>8.4649999999999999</v>
      </c>
      <c r="BA38">
        <v>0.89444999999999997</v>
      </c>
      <c r="BB38">
        <v>1.0490299999999999</v>
      </c>
      <c r="BC38">
        <v>1.68</v>
      </c>
      <c r="BD38">
        <v>2.1190205934814301</v>
      </c>
      <c r="BE38" t="s">
        <v>319</v>
      </c>
      <c r="BF38" t="s">
        <v>320</v>
      </c>
    </row>
    <row r="39" spans="1:58" customFormat="1" x14ac:dyDescent="0.35">
      <c r="A39">
        <v>10</v>
      </c>
      <c r="B39">
        <v>10</v>
      </c>
      <c r="C39">
        <v>13</v>
      </c>
      <c r="D39">
        <v>15</v>
      </c>
      <c r="E39">
        <v>18</v>
      </c>
      <c r="F39">
        <v>20</v>
      </c>
      <c r="G39">
        <v>21</v>
      </c>
      <c r="H39">
        <v>16</v>
      </c>
      <c r="I39">
        <v>19</v>
      </c>
      <c r="J39">
        <v>19</v>
      </c>
      <c r="K39">
        <v>25</v>
      </c>
      <c r="L39">
        <v>28</v>
      </c>
      <c r="M39">
        <v>30</v>
      </c>
      <c r="N39">
        <v>30</v>
      </c>
      <c r="O39">
        <v>26</v>
      </c>
      <c r="P39">
        <v>32</v>
      </c>
      <c r="Q39">
        <v>33</v>
      </c>
      <c r="R39">
        <v>36</v>
      </c>
      <c r="S39">
        <v>38</v>
      </c>
      <c r="T39">
        <v>42</v>
      </c>
      <c r="U39">
        <v>42</v>
      </c>
      <c r="V39">
        <f>MAX(A39:U39)</f>
        <v>42</v>
      </c>
      <c r="W39" s="4" t="s">
        <v>94</v>
      </c>
      <c r="X39">
        <v>9.6976573164336764E-10</v>
      </c>
      <c r="Y39">
        <v>94.18</v>
      </c>
      <c r="Z39">
        <v>19</v>
      </c>
      <c r="AA39">
        <v>63.1</v>
      </c>
      <c r="AB39">
        <v>55</v>
      </c>
      <c r="AC39">
        <v>33.4</v>
      </c>
      <c r="AD39">
        <v>6.5</v>
      </c>
      <c r="AE39">
        <v>1305</v>
      </c>
      <c r="AF39">
        <v>24.4</v>
      </c>
      <c r="AG39">
        <v>25.2</v>
      </c>
      <c r="AH39">
        <v>18.2</v>
      </c>
      <c r="AI39">
        <v>37.299999999999997</v>
      </c>
      <c r="AJ39">
        <v>28.3</v>
      </c>
      <c r="AK39">
        <v>44.4</v>
      </c>
      <c r="AL39">
        <v>24.8</v>
      </c>
      <c r="AM39">
        <v>37.9</v>
      </c>
      <c r="AN39">
        <v>23.7</v>
      </c>
      <c r="AO39">
        <v>40.200000000000003</v>
      </c>
      <c r="AP39">
        <v>45.75</v>
      </c>
      <c r="AQ39">
        <v>44.85</v>
      </c>
      <c r="AR39">
        <v>163</v>
      </c>
      <c r="AS39" t="s">
        <v>49</v>
      </c>
      <c r="AT39" t="s">
        <v>315</v>
      </c>
      <c r="AU39" t="s">
        <v>321</v>
      </c>
      <c r="AV39" t="s">
        <v>47</v>
      </c>
      <c r="AW39" t="s">
        <v>326</v>
      </c>
      <c r="AX39" t="s">
        <v>323</v>
      </c>
      <c r="AY39">
        <v>8.6999999999999994E-2</v>
      </c>
      <c r="AZ39">
        <v>8.9009999999999998</v>
      </c>
      <c r="BA39">
        <v>0.95482</v>
      </c>
      <c r="BB39">
        <v>2.0628799999999998</v>
      </c>
      <c r="BC39">
        <v>5.22</v>
      </c>
      <c r="BD39">
        <v>6.2617155829414601</v>
      </c>
      <c r="BE39" t="s">
        <v>319</v>
      </c>
      <c r="BF39" t="s">
        <v>324</v>
      </c>
    </row>
    <row r="40" spans="1:58" customFormat="1" x14ac:dyDescent="0.35">
      <c r="A40">
        <v>10</v>
      </c>
      <c r="B40">
        <v>10</v>
      </c>
      <c r="C40">
        <v>10</v>
      </c>
      <c r="D40">
        <v>10</v>
      </c>
      <c r="E40">
        <v>10</v>
      </c>
      <c r="F40">
        <v>10</v>
      </c>
      <c r="G40">
        <v>10</v>
      </c>
      <c r="H40">
        <v>10</v>
      </c>
      <c r="I40">
        <v>10</v>
      </c>
      <c r="J40">
        <v>10</v>
      </c>
      <c r="K40">
        <v>10</v>
      </c>
      <c r="L40">
        <v>10</v>
      </c>
      <c r="M40">
        <v>10</v>
      </c>
      <c r="N40">
        <v>12</v>
      </c>
      <c r="O40">
        <v>10</v>
      </c>
      <c r="P40">
        <v>13</v>
      </c>
      <c r="Q40">
        <v>15</v>
      </c>
      <c r="R40">
        <v>15</v>
      </c>
      <c r="S40">
        <v>16</v>
      </c>
      <c r="T40">
        <v>16</v>
      </c>
      <c r="U40">
        <v>18</v>
      </c>
      <c r="V40">
        <f>MAX(A40:U40)</f>
        <v>18</v>
      </c>
      <c r="W40" s="4" t="s">
        <v>95</v>
      </c>
      <c r="X40">
        <v>3.8913603270850333E-2</v>
      </c>
      <c r="Y40">
        <v>6.7</v>
      </c>
      <c r="Z40">
        <v>17</v>
      </c>
      <c r="AA40">
        <v>74.5</v>
      </c>
      <c r="AB40">
        <v>52</v>
      </c>
      <c r="AC40">
        <v>25.2</v>
      </c>
      <c r="AD40">
        <v>11</v>
      </c>
      <c r="AE40">
        <v>1660</v>
      </c>
      <c r="AF40">
        <v>30.5</v>
      </c>
      <c r="AG40">
        <v>36.1</v>
      </c>
      <c r="AH40">
        <v>23.5</v>
      </c>
      <c r="AI40">
        <v>47.9</v>
      </c>
      <c r="AJ40">
        <v>17.5</v>
      </c>
      <c r="AK40">
        <v>22.9</v>
      </c>
      <c r="AL40">
        <v>15.7</v>
      </c>
      <c r="AM40">
        <v>23.1</v>
      </c>
      <c r="AN40">
        <v>24.9</v>
      </c>
      <c r="AO40">
        <v>39.299999999999997</v>
      </c>
      <c r="AP40">
        <v>48.5</v>
      </c>
      <c r="AQ40">
        <v>46</v>
      </c>
      <c r="AR40">
        <v>173</v>
      </c>
      <c r="AS40" t="s">
        <v>46</v>
      </c>
      <c r="AT40" t="s">
        <v>315</v>
      </c>
      <c r="AU40" t="s">
        <v>322</v>
      </c>
      <c r="AV40" t="s">
        <v>47</v>
      </c>
      <c r="AW40" t="s">
        <v>317</v>
      </c>
      <c r="AX40" t="s">
        <v>318</v>
      </c>
      <c r="AY40">
        <v>1.9E-2</v>
      </c>
      <c r="AZ40">
        <v>8.1</v>
      </c>
      <c r="BA40">
        <v>0.66676000000000002</v>
      </c>
      <c r="BB40">
        <v>1.49404</v>
      </c>
      <c r="BC40">
        <v>1.1399999999999999</v>
      </c>
      <c r="BD40">
        <v>2.0839954597048802</v>
      </c>
      <c r="BE40" t="s">
        <v>319</v>
      </c>
      <c r="BF40" t="s">
        <v>320</v>
      </c>
    </row>
    <row r="41" spans="1:58" customFormat="1" x14ac:dyDescent="0.35">
      <c r="A41">
        <v>10</v>
      </c>
      <c r="B41">
        <v>10</v>
      </c>
      <c r="C41">
        <v>11</v>
      </c>
      <c r="D41">
        <v>11</v>
      </c>
      <c r="E41">
        <v>11</v>
      </c>
      <c r="F41">
        <v>11</v>
      </c>
      <c r="G41">
        <v>11</v>
      </c>
      <c r="H41">
        <v>11</v>
      </c>
      <c r="I41">
        <v>11</v>
      </c>
      <c r="J41">
        <v>13</v>
      </c>
      <c r="K41">
        <v>13</v>
      </c>
      <c r="L41">
        <v>14</v>
      </c>
      <c r="M41">
        <v>15</v>
      </c>
      <c r="N41">
        <v>15</v>
      </c>
      <c r="O41">
        <v>15</v>
      </c>
      <c r="P41">
        <v>15</v>
      </c>
      <c r="Q41">
        <v>15</v>
      </c>
      <c r="R41">
        <v>15</v>
      </c>
      <c r="S41">
        <v>16</v>
      </c>
      <c r="T41">
        <v>19</v>
      </c>
      <c r="U41">
        <v>19</v>
      </c>
      <c r="V41">
        <f>MAX(A41:U41)</f>
        <v>19</v>
      </c>
      <c r="W41" s="4" t="s">
        <v>82</v>
      </c>
      <c r="X41">
        <v>8.075050706111286E-3</v>
      </c>
      <c r="Y41">
        <v>7.09</v>
      </c>
      <c r="Z41">
        <v>21</v>
      </c>
      <c r="AA41">
        <v>56.2</v>
      </c>
      <c r="AB41">
        <v>49</v>
      </c>
      <c r="AC41">
        <v>31.1</v>
      </c>
      <c r="AD41">
        <v>5</v>
      </c>
      <c r="AE41">
        <v>1207</v>
      </c>
      <c r="AF41">
        <v>24.9</v>
      </c>
      <c r="AG41">
        <v>27.2</v>
      </c>
      <c r="AH41">
        <v>19.2</v>
      </c>
      <c r="AI41">
        <v>37.4</v>
      </c>
      <c r="AJ41">
        <v>26.2</v>
      </c>
      <c r="AK41">
        <v>42</v>
      </c>
      <c r="AL41">
        <v>22.6</v>
      </c>
      <c r="AM41">
        <v>35.799999999999997</v>
      </c>
      <c r="AN41">
        <v>22.5</v>
      </c>
      <c r="AO41">
        <v>35.5</v>
      </c>
      <c r="AP41">
        <v>44.5</v>
      </c>
      <c r="AQ41">
        <v>42.55</v>
      </c>
      <c r="AR41">
        <v>158</v>
      </c>
      <c r="AS41" t="s">
        <v>49</v>
      </c>
      <c r="AT41" t="s">
        <v>315</v>
      </c>
      <c r="AU41" t="s">
        <v>322</v>
      </c>
      <c r="AV41" t="s">
        <v>47</v>
      </c>
      <c r="AW41" t="s">
        <v>317</v>
      </c>
      <c r="AX41" t="s">
        <v>323</v>
      </c>
      <c r="AY41">
        <v>2.3E-2</v>
      </c>
      <c r="AZ41">
        <v>9.1180000000000003</v>
      </c>
      <c r="BA41">
        <v>0.89959999999999996</v>
      </c>
      <c r="BB41">
        <v>0.84389000000000003</v>
      </c>
      <c r="BC41">
        <v>1.38</v>
      </c>
      <c r="BD41">
        <v>1.7240149181125299</v>
      </c>
      <c r="BE41" t="s">
        <v>319</v>
      </c>
      <c r="BF41" t="s">
        <v>320</v>
      </c>
    </row>
    <row r="42" spans="1:58" customFormat="1" x14ac:dyDescent="0.35">
      <c r="A42">
        <v>12</v>
      </c>
      <c r="B42">
        <v>12</v>
      </c>
      <c r="C42">
        <v>12</v>
      </c>
      <c r="D42">
        <v>12</v>
      </c>
      <c r="E42">
        <v>12</v>
      </c>
      <c r="F42">
        <v>12</v>
      </c>
      <c r="G42">
        <v>12</v>
      </c>
      <c r="H42">
        <v>12</v>
      </c>
      <c r="I42">
        <v>12</v>
      </c>
      <c r="J42">
        <v>12</v>
      </c>
      <c r="K42">
        <v>12</v>
      </c>
      <c r="L42">
        <v>12</v>
      </c>
      <c r="M42">
        <v>12</v>
      </c>
      <c r="N42">
        <v>12</v>
      </c>
      <c r="O42">
        <v>12</v>
      </c>
      <c r="P42">
        <v>12</v>
      </c>
      <c r="Q42">
        <v>13</v>
      </c>
      <c r="R42">
        <v>13</v>
      </c>
      <c r="S42">
        <v>13</v>
      </c>
      <c r="T42">
        <v>14</v>
      </c>
      <c r="U42">
        <v>15</v>
      </c>
      <c r="V42">
        <f>MAX(A42:U42)</f>
        <v>15</v>
      </c>
      <c r="W42" s="4" t="s">
        <v>97</v>
      </c>
      <c r="X42">
        <v>7.3037779804245551E-4</v>
      </c>
      <c r="Y42">
        <v>0.62</v>
      </c>
      <c r="Z42">
        <v>25</v>
      </c>
      <c r="AA42">
        <v>71.599999999999994</v>
      </c>
      <c r="AB42">
        <v>49</v>
      </c>
      <c r="AC42">
        <v>34.5</v>
      </c>
      <c r="AD42">
        <v>9.5</v>
      </c>
      <c r="AE42">
        <v>1434</v>
      </c>
      <c r="AF42">
        <v>25</v>
      </c>
      <c r="AG42">
        <v>24</v>
      </c>
      <c r="AH42">
        <v>18</v>
      </c>
      <c r="AI42">
        <v>39</v>
      </c>
      <c r="AJ42">
        <v>31.9</v>
      </c>
      <c r="AK42">
        <v>45.1</v>
      </c>
      <c r="AL42">
        <v>27.5</v>
      </c>
      <c r="AM42">
        <v>40.5</v>
      </c>
      <c r="AN42">
        <v>28</v>
      </c>
      <c r="AO42">
        <v>43.45</v>
      </c>
      <c r="AP42">
        <v>49.6</v>
      </c>
      <c r="AQ42">
        <v>43.15</v>
      </c>
      <c r="AR42">
        <v>160</v>
      </c>
      <c r="AS42" t="s">
        <v>49</v>
      </c>
      <c r="AT42" t="s">
        <v>315</v>
      </c>
      <c r="AU42" t="s">
        <v>321</v>
      </c>
      <c r="AV42" t="s">
        <v>52</v>
      </c>
      <c r="AW42" t="s">
        <v>317</v>
      </c>
      <c r="AX42" t="s">
        <v>323</v>
      </c>
      <c r="AY42">
        <v>5.0000000000000001E-3</v>
      </c>
      <c r="AZ42">
        <v>11.457000000000001</v>
      </c>
      <c r="BA42">
        <v>0.48571999999999999</v>
      </c>
      <c r="BB42">
        <v>0.56320000000000003</v>
      </c>
      <c r="BC42">
        <v>0.3</v>
      </c>
      <c r="BD42">
        <v>0.59153559267066602</v>
      </c>
      <c r="BE42" t="s">
        <v>319</v>
      </c>
      <c r="BF42" t="s">
        <v>320</v>
      </c>
    </row>
    <row r="43" spans="1:58" customFormat="1" x14ac:dyDescent="0.35">
      <c r="A43">
        <v>46</v>
      </c>
      <c r="B43">
        <v>45</v>
      </c>
      <c r="C43">
        <v>46</v>
      </c>
      <c r="D43">
        <v>47</v>
      </c>
      <c r="E43">
        <v>43</v>
      </c>
      <c r="F43">
        <v>50</v>
      </c>
      <c r="G43">
        <v>47</v>
      </c>
      <c r="H43">
        <v>39</v>
      </c>
      <c r="I43">
        <v>43</v>
      </c>
      <c r="J43">
        <v>44</v>
      </c>
      <c r="K43">
        <v>43</v>
      </c>
      <c r="L43">
        <v>43</v>
      </c>
      <c r="M43">
        <v>43</v>
      </c>
      <c r="N43">
        <v>43</v>
      </c>
      <c r="O43">
        <v>37</v>
      </c>
      <c r="P43">
        <v>42</v>
      </c>
      <c r="Q43">
        <v>39</v>
      </c>
      <c r="R43">
        <v>43</v>
      </c>
      <c r="S43">
        <v>45</v>
      </c>
      <c r="T43">
        <v>46</v>
      </c>
      <c r="U43">
        <v>46</v>
      </c>
      <c r="V43">
        <f>MAX(A43:U43)</f>
        <v>50</v>
      </c>
      <c r="W43" s="4" t="s">
        <v>98</v>
      </c>
      <c r="X43">
        <v>0.13204227703744409</v>
      </c>
      <c r="Y43">
        <v>8.6300000000000008</v>
      </c>
      <c r="Z43">
        <v>27</v>
      </c>
      <c r="AA43">
        <v>62.3</v>
      </c>
      <c r="AB43">
        <v>66</v>
      </c>
      <c r="AC43">
        <v>36.1</v>
      </c>
      <c r="AD43">
        <v>9</v>
      </c>
      <c r="AE43">
        <v>1277</v>
      </c>
      <c r="AF43">
        <v>22.8</v>
      </c>
      <c r="AG43">
        <v>23.5</v>
      </c>
      <c r="AH43">
        <v>16.399999999999999</v>
      </c>
      <c r="AI43">
        <v>36.200000000000003</v>
      </c>
      <c r="AJ43">
        <v>30.9</v>
      </c>
      <c r="AK43">
        <v>46.6</v>
      </c>
      <c r="AL43">
        <v>27.4</v>
      </c>
      <c r="AM43">
        <v>39.6</v>
      </c>
      <c r="AN43">
        <v>25.6</v>
      </c>
      <c r="AO43">
        <v>41.65</v>
      </c>
      <c r="AP43">
        <v>45.55</v>
      </c>
      <c r="AQ43">
        <v>41.95</v>
      </c>
      <c r="AR43">
        <v>156</v>
      </c>
      <c r="AS43" t="s">
        <v>49</v>
      </c>
      <c r="AT43" t="s">
        <v>315</v>
      </c>
      <c r="AU43" t="s">
        <v>321</v>
      </c>
      <c r="AV43" t="s">
        <v>52</v>
      </c>
      <c r="AW43" t="s">
        <v>326</v>
      </c>
      <c r="AX43" t="s">
        <v>323</v>
      </c>
      <c r="AY43">
        <v>-8.0000000000000002E-3</v>
      </c>
      <c r="AZ43">
        <v>45.283000000000001</v>
      </c>
      <c r="BA43">
        <v>8.8340000000000002E-2</v>
      </c>
      <c r="BB43">
        <v>2.8050000000000002</v>
      </c>
      <c r="BC43">
        <v>-0.48</v>
      </c>
      <c r="BD43">
        <v>0.80946975839143798</v>
      </c>
      <c r="BE43" t="s">
        <v>329</v>
      </c>
      <c r="BF43" t="s">
        <v>320</v>
      </c>
    </row>
    <row r="44" spans="1:58" customFormat="1" x14ac:dyDescent="0.35">
      <c r="A44">
        <v>10</v>
      </c>
      <c r="B44">
        <v>10</v>
      </c>
      <c r="C44">
        <v>10</v>
      </c>
      <c r="D44">
        <v>10</v>
      </c>
      <c r="E44">
        <v>10</v>
      </c>
      <c r="F44">
        <v>10</v>
      </c>
      <c r="G44">
        <v>10</v>
      </c>
      <c r="H44">
        <v>10</v>
      </c>
      <c r="I44">
        <v>10</v>
      </c>
      <c r="J44">
        <v>10</v>
      </c>
      <c r="K44">
        <v>10</v>
      </c>
      <c r="L44">
        <v>10</v>
      </c>
      <c r="M44">
        <v>10</v>
      </c>
      <c r="N44">
        <v>10</v>
      </c>
      <c r="O44">
        <v>10</v>
      </c>
      <c r="P44">
        <v>10</v>
      </c>
      <c r="Q44">
        <v>10</v>
      </c>
      <c r="R44">
        <v>10</v>
      </c>
      <c r="S44">
        <v>10</v>
      </c>
      <c r="T44">
        <v>10</v>
      </c>
      <c r="U44">
        <v>10</v>
      </c>
      <c r="V44">
        <f>MAX(A44:U44)</f>
        <v>10</v>
      </c>
      <c r="W44" s="4" t="s">
        <v>99</v>
      </c>
      <c r="Y44">
        <v>0</v>
      </c>
      <c r="Z44">
        <v>22</v>
      </c>
      <c r="AA44">
        <v>81.5</v>
      </c>
      <c r="AB44">
        <v>61</v>
      </c>
      <c r="AC44">
        <v>28.2</v>
      </c>
      <c r="AD44">
        <v>18</v>
      </c>
      <c r="AE44">
        <v>1750</v>
      </c>
      <c r="AF44">
        <v>28.8</v>
      </c>
      <c r="AG44">
        <v>33.9</v>
      </c>
      <c r="AH44">
        <v>21.3</v>
      </c>
      <c r="AI44">
        <v>46.2</v>
      </c>
      <c r="AJ44">
        <v>20</v>
      </c>
      <c r="AK44">
        <v>24.3</v>
      </c>
      <c r="AL44">
        <v>18.399999999999999</v>
      </c>
      <c r="AM44">
        <v>24.8</v>
      </c>
      <c r="AN44">
        <v>28.9</v>
      </c>
      <c r="AO44">
        <v>45.15</v>
      </c>
      <c r="AP44">
        <v>44.55</v>
      </c>
      <c r="AQ44">
        <v>45.55</v>
      </c>
      <c r="AR44">
        <v>168</v>
      </c>
      <c r="AS44" t="s">
        <v>46</v>
      </c>
      <c r="AT44">
        <v>0</v>
      </c>
      <c r="AU44" t="s">
        <v>321</v>
      </c>
      <c r="AV44" t="s">
        <v>52</v>
      </c>
      <c r="AW44" t="s">
        <v>326</v>
      </c>
      <c r="AX44" t="s">
        <v>318</v>
      </c>
      <c r="AY44">
        <v>0</v>
      </c>
      <c r="AZ44">
        <v>10</v>
      </c>
      <c r="BA44">
        <v>0</v>
      </c>
      <c r="BB44">
        <v>0</v>
      </c>
      <c r="BC44">
        <v>0</v>
      </c>
      <c r="BD44">
        <v>0</v>
      </c>
      <c r="BE44" t="s">
        <v>328</v>
      </c>
      <c r="BF44" t="s">
        <v>320</v>
      </c>
    </row>
    <row r="45" spans="1:58" customFormat="1" x14ac:dyDescent="0.35">
      <c r="A45">
        <v>10</v>
      </c>
      <c r="B45">
        <v>10</v>
      </c>
      <c r="C45">
        <v>10</v>
      </c>
      <c r="D45">
        <v>10</v>
      </c>
      <c r="E45">
        <v>10</v>
      </c>
      <c r="F45">
        <v>10</v>
      </c>
      <c r="G45">
        <v>11</v>
      </c>
      <c r="H45">
        <v>10</v>
      </c>
      <c r="I45">
        <v>11</v>
      </c>
      <c r="J45">
        <v>11</v>
      </c>
      <c r="K45">
        <v>12</v>
      </c>
      <c r="L45">
        <v>12</v>
      </c>
      <c r="M45">
        <v>13</v>
      </c>
      <c r="N45">
        <v>13</v>
      </c>
      <c r="O45">
        <v>11</v>
      </c>
      <c r="P45">
        <v>11</v>
      </c>
      <c r="Q45">
        <v>13</v>
      </c>
      <c r="R45">
        <v>13</v>
      </c>
      <c r="S45">
        <v>13</v>
      </c>
      <c r="T45">
        <v>13</v>
      </c>
      <c r="U45">
        <v>13</v>
      </c>
      <c r="V45">
        <f>MAX(A45:U45)</f>
        <v>13</v>
      </c>
      <c r="W45" s="4" t="s">
        <v>83</v>
      </c>
      <c r="X45">
        <v>4.6833169103247863E-2</v>
      </c>
      <c r="Y45">
        <v>1.58</v>
      </c>
      <c r="Z45">
        <v>18</v>
      </c>
      <c r="AA45">
        <v>64.099999999999994</v>
      </c>
      <c r="AB45">
        <v>53</v>
      </c>
      <c r="AC45">
        <v>34.9</v>
      </c>
      <c r="AD45">
        <v>9</v>
      </c>
      <c r="AE45">
        <v>1311</v>
      </c>
      <c r="AF45">
        <v>23.6</v>
      </c>
      <c r="AG45">
        <v>24.1</v>
      </c>
      <c r="AH45">
        <v>17.3</v>
      </c>
      <c r="AI45">
        <v>37.200000000000003</v>
      </c>
      <c r="AJ45">
        <v>31.1</v>
      </c>
      <c r="AK45">
        <v>45.9</v>
      </c>
      <c r="AL45">
        <v>27.2</v>
      </c>
      <c r="AM45">
        <v>40.6</v>
      </c>
      <c r="AN45">
        <v>26.7</v>
      </c>
      <c r="AO45">
        <v>39.65</v>
      </c>
      <c r="AP45">
        <v>45.05</v>
      </c>
      <c r="AQ45">
        <v>40.200000000000003</v>
      </c>
      <c r="AR45">
        <v>155</v>
      </c>
      <c r="AS45" t="s">
        <v>49</v>
      </c>
      <c r="AT45" t="s">
        <v>330</v>
      </c>
      <c r="AU45" t="s">
        <v>322</v>
      </c>
      <c r="AV45" t="s">
        <v>52</v>
      </c>
      <c r="AW45" t="s">
        <v>326</v>
      </c>
      <c r="AX45" t="s">
        <v>323</v>
      </c>
      <c r="AY45">
        <v>0.01</v>
      </c>
      <c r="AZ45">
        <v>9.5660000000000007</v>
      </c>
      <c r="BA45">
        <v>0.77139000000000002</v>
      </c>
      <c r="BB45">
        <v>0.60067000000000004</v>
      </c>
      <c r="BC45">
        <v>0.6</v>
      </c>
      <c r="BD45">
        <v>0.61683152262039798</v>
      </c>
      <c r="BE45" t="s">
        <v>319</v>
      </c>
      <c r="BF45" t="s">
        <v>320</v>
      </c>
    </row>
    <row r="46" spans="1:58" customFormat="1" x14ac:dyDescent="0.35">
      <c r="A46">
        <v>10</v>
      </c>
      <c r="B46">
        <v>11</v>
      </c>
      <c r="C46">
        <v>11</v>
      </c>
      <c r="D46">
        <v>13</v>
      </c>
      <c r="E46">
        <v>11</v>
      </c>
      <c r="F46">
        <v>12</v>
      </c>
      <c r="G46">
        <v>12</v>
      </c>
      <c r="H46">
        <v>12</v>
      </c>
      <c r="I46">
        <v>11</v>
      </c>
      <c r="J46">
        <v>11</v>
      </c>
      <c r="K46">
        <v>11</v>
      </c>
      <c r="L46">
        <v>11</v>
      </c>
      <c r="M46">
        <v>11</v>
      </c>
      <c r="N46">
        <v>11</v>
      </c>
      <c r="O46">
        <v>11</v>
      </c>
      <c r="P46">
        <v>12</v>
      </c>
      <c r="Q46">
        <v>12</v>
      </c>
      <c r="R46">
        <v>14</v>
      </c>
      <c r="S46">
        <v>13</v>
      </c>
      <c r="T46">
        <v>13</v>
      </c>
      <c r="U46">
        <v>13</v>
      </c>
      <c r="V46">
        <f>MAX(A46:U46)</f>
        <v>14</v>
      </c>
      <c r="W46" s="4" t="s">
        <v>100</v>
      </c>
      <c r="X46">
        <v>2.1312539561118189E-2</v>
      </c>
      <c r="Y46">
        <v>0.97</v>
      </c>
      <c r="Z46">
        <v>22</v>
      </c>
      <c r="AA46">
        <v>78.599999999999994</v>
      </c>
      <c r="AB46">
        <v>54</v>
      </c>
      <c r="AC46">
        <v>26.8</v>
      </c>
      <c r="AD46">
        <v>9.5</v>
      </c>
      <c r="AE46">
        <v>1720</v>
      </c>
      <c r="AF46">
        <v>30.5</v>
      </c>
      <c r="AG46">
        <v>36.299999999999997</v>
      </c>
      <c r="AH46">
        <v>23</v>
      </c>
      <c r="AI46">
        <v>47.9</v>
      </c>
      <c r="AJ46">
        <v>18.3</v>
      </c>
      <c r="AK46">
        <v>24.7</v>
      </c>
      <c r="AL46">
        <v>16.2</v>
      </c>
      <c r="AM46">
        <v>24.9</v>
      </c>
      <c r="AN46">
        <v>23.5</v>
      </c>
      <c r="AO46">
        <v>43.45</v>
      </c>
      <c r="AP46">
        <v>48.3</v>
      </c>
      <c r="AQ46">
        <v>48.5</v>
      </c>
      <c r="AR46">
        <v>183</v>
      </c>
      <c r="AS46" t="s">
        <v>46</v>
      </c>
      <c r="AT46" t="s">
        <v>315</v>
      </c>
      <c r="AU46" t="s">
        <v>322</v>
      </c>
      <c r="AV46" t="s">
        <v>47</v>
      </c>
      <c r="AW46" t="s">
        <v>326</v>
      </c>
      <c r="AX46" t="s">
        <v>318</v>
      </c>
      <c r="AY46">
        <v>5.0000000000000001E-3</v>
      </c>
      <c r="AZ46">
        <v>10.776</v>
      </c>
      <c r="BA46">
        <v>0.32006000000000001</v>
      </c>
      <c r="BB46">
        <v>0.81044000000000005</v>
      </c>
      <c r="BC46">
        <v>0.3</v>
      </c>
      <c r="BD46">
        <v>0.57986054807848197</v>
      </c>
      <c r="BE46" t="s">
        <v>319</v>
      </c>
      <c r="BF46" t="s">
        <v>320</v>
      </c>
    </row>
    <row r="47" spans="1:58" customFormat="1" x14ac:dyDescent="0.35">
      <c r="A47">
        <v>14</v>
      </c>
      <c r="B47">
        <v>15</v>
      </c>
      <c r="C47">
        <v>19</v>
      </c>
      <c r="D47">
        <v>26</v>
      </c>
      <c r="E47">
        <v>27</v>
      </c>
      <c r="F47">
        <v>30</v>
      </c>
      <c r="G47">
        <v>33</v>
      </c>
      <c r="H47">
        <v>19</v>
      </c>
      <c r="I47">
        <v>27</v>
      </c>
      <c r="J47">
        <v>34</v>
      </c>
      <c r="K47">
        <v>30</v>
      </c>
      <c r="L47">
        <v>33</v>
      </c>
      <c r="M47">
        <v>33</v>
      </c>
      <c r="N47">
        <v>37</v>
      </c>
      <c r="O47">
        <v>26</v>
      </c>
      <c r="P47">
        <v>34</v>
      </c>
      <c r="Q47">
        <v>37</v>
      </c>
      <c r="R47">
        <v>37</v>
      </c>
      <c r="S47">
        <v>36</v>
      </c>
      <c r="T47">
        <v>36</v>
      </c>
      <c r="U47">
        <v>34</v>
      </c>
      <c r="V47">
        <f>MAX(A47:U47)</f>
        <v>37</v>
      </c>
      <c r="W47" s="4" t="s">
        <v>101</v>
      </c>
      <c r="X47">
        <v>6.0419856600333811E-7</v>
      </c>
      <c r="Y47">
        <v>50.43</v>
      </c>
      <c r="Z47">
        <v>24</v>
      </c>
      <c r="AA47">
        <v>59.9</v>
      </c>
      <c r="AB47">
        <v>54</v>
      </c>
      <c r="AC47">
        <v>35.6</v>
      </c>
      <c r="AD47">
        <v>5</v>
      </c>
      <c r="AE47">
        <v>1245</v>
      </c>
      <c r="AF47">
        <v>23.3</v>
      </c>
      <c r="AG47">
        <v>24.6</v>
      </c>
      <c r="AH47">
        <v>17.7</v>
      </c>
      <c r="AI47">
        <v>34.5</v>
      </c>
      <c r="AJ47">
        <v>27.9</v>
      </c>
      <c r="AK47">
        <v>27.9</v>
      </c>
      <c r="AL47">
        <v>25.3</v>
      </c>
      <c r="AM47">
        <v>39.9</v>
      </c>
      <c r="AN47">
        <v>21.7</v>
      </c>
      <c r="AO47">
        <v>38.049999999999997</v>
      </c>
      <c r="AP47">
        <v>47.25</v>
      </c>
      <c r="AQ47">
        <v>44.65</v>
      </c>
      <c r="AR47">
        <v>166</v>
      </c>
      <c r="AS47" t="s">
        <v>49</v>
      </c>
      <c r="AT47" t="s">
        <v>315</v>
      </c>
      <c r="AU47" t="s">
        <v>322</v>
      </c>
      <c r="AV47" t="s">
        <v>47</v>
      </c>
      <c r="AW47" t="s">
        <v>326</v>
      </c>
      <c r="AX47" t="s">
        <v>323</v>
      </c>
      <c r="AY47">
        <v>5.1999999999999998E-2</v>
      </c>
      <c r="AZ47">
        <v>19.675000000000001</v>
      </c>
      <c r="BA47">
        <v>0.65598999999999996</v>
      </c>
      <c r="BB47">
        <v>4.165</v>
      </c>
      <c r="BC47">
        <v>3.1199999999999899</v>
      </c>
      <c r="BD47">
        <v>2.7455813199286498</v>
      </c>
      <c r="BE47" t="s">
        <v>319</v>
      </c>
      <c r="BF47" t="s">
        <v>324</v>
      </c>
    </row>
    <row r="48" spans="1:58" customFormat="1" x14ac:dyDescent="0.35">
      <c r="A48">
        <v>10</v>
      </c>
      <c r="B48">
        <v>10</v>
      </c>
      <c r="C48">
        <v>10</v>
      </c>
      <c r="D48">
        <v>11</v>
      </c>
      <c r="E48">
        <v>12</v>
      </c>
      <c r="F48">
        <v>12</v>
      </c>
      <c r="G48">
        <v>12</v>
      </c>
      <c r="H48">
        <v>12</v>
      </c>
      <c r="I48">
        <v>12</v>
      </c>
      <c r="J48">
        <v>14</v>
      </c>
      <c r="K48">
        <v>14</v>
      </c>
      <c r="L48">
        <v>14</v>
      </c>
      <c r="M48">
        <v>14</v>
      </c>
      <c r="N48">
        <v>16</v>
      </c>
      <c r="O48">
        <v>16</v>
      </c>
      <c r="P48">
        <v>20</v>
      </c>
      <c r="Q48">
        <v>20</v>
      </c>
      <c r="R48">
        <v>22</v>
      </c>
      <c r="S48">
        <v>26</v>
      </c>
      <c r="T48">
        <v>26</v>
      </c>
      <c r="U48">
        <v>28</v>
      </c>
      <c r="V48">
        <f>MAX(A48:U48)</f>
        <v>28</v>
      </c>
      <c r="W48" s="4" t="s">
        <v>102</v>
      </c>
      <c r="X48">
        <v>1.7521494126384791E-3</v>
      </c>
      <c r="Y48">
        <v>30.47</v>
      </c>
      <c r="Z48">
        <v>17</v>
      </c>
      <c r="AA48">
        <v>63.9</v>
      </c>
      <c r="AB48">
        <v>42</v>
      </c>
      <c r="AC48">
        <v>37.6</v>
      </c>
      <c r="AD48">
        <v>11</v>
      </c>
      <c r="AE48">
        <v>1292</v>
      </c>
      <c r="AF48">
        <v>21.9</v>
      </c>
      <c r="AG48">
        <v>22.1</v>
      </c>
      <c r="AH48">
        <v>16.2</v>
      </c>
      <c r="AI48">
        <v>35.200000000000003</v>
      </c>
      <c r="AJ48">
        <v>34</v>
      </c>
      <c r="AK48">
        <v>50.5</v>
      </c>
      <c r="AL48">
        <v>30</v>
      </c>
      <c r="AM48">
        <v>46.7</v>
      </c>
      <c r="AN48">
        <v>28.8</v>
      </c>
      <c r="AO48">
        <v>43.7</v>
      </c>
      <c r="AP48">
        <v>49.25</v>
      </c>
      <c r="AQ48">
        <v>38.5</v>
      </c>
      <c r="AR48">
        <v>149</v>
      </c>
      <c r="AS48" t="s">
        <v>49</v>
      </c>
      <c r="AT48" t="s">
        <v>330</v>
      </c>
      <c r="AU48" t="s">
        <v>321</v>
      </c>
      <c r="AV48" t="s">
        <v>52</v>
      </c>
      <c r="AW48" t="s">
        <v>317</v>
      </c>
      <c r="AX48" t="s">
        <v>323</v>
      </c>
      <c r="AY48">
        <v>4.7E-2</v>
      </c>
      <c r="AZ48">
        <v>7.1369999999999996</v>
      </c>
      <c r="BA48">
        <v>0.85729</v>
      </c>
      <c r="BB48">
        <v>2.0851500000000001</v>
      </c>
      <c r="BC48">
        <v>2.82</v>
      </c>
      <c r="BD48">
        <v>4.1057240149181098</v>
      </c>
      <c r="BE48" t="s">
        <v>319</v>
      </c>
      <c r="BF48" t="s">
        <v>320</v>
      </c>
    </row>
    <row r="49" spans="1:58" customFormat="1" x14ac:dyDescent="0.35">
      <c r="A49">
        <v>30</v>
      </c>
      <c r="B49">
        <v>32</v>
      </c>
      <c r="C49">
        <v>34</v>
      </c>
      <c r="D49">
        <v>36</v>
      </c>
      <c r="E49">
        <v>34</v>
      </c>
      <c r="F49">
        <v>36</v>
      </c>
      <c r="G49">
        <v>38</v>
      </c>
      <c r="H49">
        <v>21</v>
      </c>
      <c r="I49">
        <v>24</v>
      </c>
      <c r="J49">
        <v>34</v>
      </c>
      <c r="K49">
        <v>43</v>
      </c>
      <c r="L49">
        <v>43</v>
      </c>
      <c r="M49">
        <v>46</v>
      </c>
      <c r="N49">
        <v>50</v>
      </c>
      <c r="O49">
        <v>22</v>
      </c>
      <c r="P49">
        <v>48</v>
      </c>
      <c r="Q49">
        <v>50</v>
      </c>
      <c r="R49">
        <v>57</v>
      </c>
      <c r="S49">
        <v>66</v>
      </c>
      <c r="T49">
        <v>76</v>
      </c>
      <c r="U49">
        <v>76</v>
      </c>
      <c r="V49">
        <f>MAX(A49:U49)</f>
        <v>76</v>
      </c>
      <c r="W49" s="4" t="s">
        <v>84</v>
      </c>
      <c r="X49" s="13">
        <v>5.2525678759831898E-2</v>
      </c>
      <c r="Y49">
        <v>236.89</v>
      </c>
      <c r="Z49">
        <v>31</v>
      </c>
      <c r="AA49">
        <v>69.3</v>
      </c>
      <c r="AB49">
        <v>46</v>
      </c>
      <c r="AC49">
        <v>24.7</v>
      </c>
      <c r="AD49">
        <v>9.5</v>
      </c>
      <c r="AE49">
        <v>1579</v>
      </c>
      <c r="AF49">
        <v>30.7</v>
      </c>
      <c r="AG49">
        <v>36.9</v>
      </c>
      <c r="AH49">
        <v>23.8</v>
      </c>
      <c r="AI49">
        <v>48.1</v>
      </c>
      <c r="AJ49">
        <v>17</v>
      </c>
      <c r="AK49">
        <v>23.1</v>
      </c>
      <c r="AL49">
        <v>15.1</v>
      </c>
      <c r="AM49">
        <v>23.1</v>
      </c>
      <c r="AN49">
        <v>24</v>
      </c>
      <c r="AO49">
        <v>38.75</v>
      </c>
      <c r="AP49">
        <v>44.75</v>
      </c>
      <c r="AQ49">
        <v>46.95</v>
      </c>
      <c r="AR49">
        <v>170</v>
      </c>
      <c r="AS49" t="s">
        <v>46</v>
      </c>
      <c r="AT49" t="s">
        <v>330</v>
      </c>
      <c r="AU49" t="s">
        <v>321</v>
      </c>
      <c r="AV49" t="s">
        <v>47</v>
      </c>
      <c r="AW49" t="s">
        <v>317</v>
      </c>
      <c r="AX49" t="s">
        <v>318</v>
      </c>
      <c r="AY49">
        <v>0.109</v>
      </c>
      <c r="AZ49">
        <v>22.51</v>
      </c>
      <c r="BA49">
        <v>0.60219999999999996</v>
      </c>
      <c r="BB49">
        <v>9.7074499999999997</v>
      </c>
      <c r="BC49">
        <v>6.54</v>
      </c>
      <c r="BD49">
        <v>12.3405221339387</v>
      </c>
      <c r="BE49" t="s">
        <v>319</v>
      </c>
      <c r="BF49" t="s">
        <v>324</v>
      </c>
    </row>
    <row r="50" spans="1:58" customFormat="1" x14ac:dyDescent="0.35">
      <c r="A50">
        <v>10</v>
      </c>
      <c r="B50">
        <v>20</v>
      </c>
      <c r="C50">
        <v>17</v>
      </c>
      <c r="D50">
        <v>40</v>
      </c>
      <c r="E50">
        <v>40</v>
      </c>
      <c r="F50">
        <v>41</v>
      </c>
      <c r="G50">
        <v>48</v>
      </c>
      <c r="H50">
        <v>51</v>
      </c>
      <c r="I50">
        <v>39</v>
      </c>
      <c r="J50">
        <v>45</v>
      </c>
      <c r="K50">
        <v>55</v>
      </c>
      <c r="L50">
        <v>53</v>
      </c>
      <c r="M50">
        <v>60</v>
      </c>
      <c r="N50">
        <v>65</v>
      </c>
      <c r="O50">
        <v>65</v>
      </c>
      <c r="P50">
        <v>72</v>
      </c>
      <c r="Q50">
        <v>71</v>
      </c>
      <c r="R50">
        <v>53</v>
      </c>
      <c r="S50">
        <v>75</v>
      </c>
      <c r="T50">
        <v>69</v>
      </c>
      <c r="U50">
        <v>77</v>
      </c>
      <c r="V50">
        <f>MAX(A50:U50)</f>
        <v>77</v>
      </c>
      <c r="W50" s="4" t="s">
        <v>103</v>
      </c>
      <c r="X50">
        <v>4.6397484219633631E-5</v>
      </c>
      <c r="Y50">
        <v>344.85</v>
      </c>
      <c r="Z50">
        <v>31</v>
      </c>
      <c r="AA50">
        <v>71.5</v>
      </c>
      <c r="AB50">
        <v>55</v>
      </c>
      <c r="AC50">
        <v>24.1</v>
      </c>
      <c r="AD50">
        <v>11.5</v>
      </c>
      <c r="AE50">
        <v>1615</v>
      </c>
      <c r="AF50">
        <v>30.6</v>
      </c>
      <c r="AG50">
        <v>35.799999999999997</v>
      </c>
      <c r="AH50">
        <v>23.8</v>
      </c>
      <c r="AI50">
        <v>47.9</v>
      </c>
      <c r="AJ50">
        <v>16.7</v>
      </c>
      <c r="AK50">
        <v>21.4</v>
      </c>
      <c r="AL50">
        <v>15</v>
      </c>
      <c r="AM50">
        <v>21.5</v>
      </c>
      <c r="AN50">
        <v>24.7</v>
      </c>
      <c r="AO50">
        <v>39.6</v>
      </c>
      <c r="AP50">
        <v>47.3</v>
      </c>
      <c r="AQ50">
        <v>48.65</v>
      </c>
      <c r="AR50">
        <v>170</v>
      </c>
      <c r="AS50" t="s">
        <v>46</v>
      </c>
      <c r="AT50" t="s">
        <v>315</v>
      </c>
      <c r="AU50" t="s">
        <v>325</v>
      </c>
      <c r="AV50" t="s">
        <v>47</v>
      </c>
      <c r="AW50" t="s">
        <v>326</v>
      </c>
      <c r="AX50" t="s">
        <v>318</v>
      </c>
      <c r="AY50">
        <v>0.156</v>
      </c>
      <c r="AZ50">
        <v>21.914000000000001</v>
      </c>
      <c r="BA50">
        <v>0.84730000000000005</v>
      </c>
      <c r="BB50">
        <v>7.2565200000000001</v>
      </c>
      <c r="BC50">
        <v>9.36</v>
      </c>
      <c r="BD50">
        <v>7.5070536727744397</v>
      </c>
      <c r="BE50" t="s">
        <v>319</v>
      </c>
      <c r="BF50" t="s">
        <v>324</v>
      </c>
    </row>
    <row r="51" spans="1:58" customFormat="1" x14ac:dyDescent="0.35">
      <c r="A51">
        <v>10</v>
      </c>
      <c r="B51">
        <v>10</v>
      </c>
      <c r="C51">
        <v>10</v>
      </c>
      <c r="D51">
        <v>10</v>
      </c>
      <c r="E51">
        <v>10</v>
      </c>
      <c r="F51">
        <v>10</v>
      </c>
      <c r="G51">
        <v>10</v>
      </c>
      <c r="H51">
        <v>10</v>
      </c>
      <c r="I51">
        <v>10</v>
      </c>
      <c r="J51">
        <v>10</v>
      </c>
      <c r="K51">
        <v>10</v>
      </c>
      <c r="L51">
        <v>10</v>
      </c>
      <c r="M51">
        <v>10</v>
      </c>
      <c r="N51">
        <v>10</v>
      </c>
      <c r="O51">
        <v>10</v>
      </c>
      <c r="P51">
        <v>12</v>
      </c>
      <c r="Q51">
        <v>12</v>
      </c>
      <c r="R51">
        <v>12</v>
      </c>
      <c r="S51">
        <v>12</v>
      </c>
      <c r="T51">
        <v>12</v>
      </c>
      <c r="U51">
        <v>12</v>
      </c>
      <c r="V51">
        <f>MAX(A51:U51)</f>
        <v>12</v>
      </c>
      <c r="W51" s="4" t="s">
        <v>106</v>
      </c>
      <c r="X51">
        <v>2.556419245388528E-2</v>
      </c>
      <c r="Y51">
        <v>0.82</v>
      </c>
      <c r="Z51">
        <v>41</v>
      </c>
      <c r="AA51">
        <v>80.2</v>
      </c>
      <c r="AB51">
        <v>55</v>
      </c>
      <c r="AC51">
        <v>30.5</v>
      </c>
      <c r="AD51">
        <v>13.5</v>
      </c>
      <c r="AE51">
        <v>1719</v>
      </c>
      <c r="AF51">
        <v>28.4</v>
      </c>
      <c r="AG51">
        <v>34.700000000000003</v>
      </c>
      <c r="AH51">
        <v>20.3</v>
      </c>
      <c r="AI51">
        <v>45.8</v>
      </c>
      <c r="AJ51">
        <v>20.9</v>
      </c>
      <c r="AK51">
        <v>28.2</v>
      </c>
      <c r="AL51">
        <v>18.899999999999999</v>
      </c>
      <c r="AM51">
        <v>28.8</v>
      </c>
      <c r="AN51">
        <v>26.2</v>
      </c>
      <c r="AO51">
        <v>42.2</v>
      </c>
      <c r="AP51">
        <v>48.65</v>
      </c>
      <c r="AQ51">
        <v>49.5</v>
      </c>
      <c r="AR51">
        <v>175</v>
      </c>
      <c r="AS51" t="s">
        <v>46</v>
      </c>
      <c r="AT51">
        <v>0</v>
      </c>
      <c r="AU51" t="s">
        <v>322</v>
      </c>
      <c r="AV51" t="s">
        <v>52</v>
      </c>
      <c r="AW51" t="s">
        <v>326</v>
      </c>
      <c r="AX51" t="s">
        <v>318</v>
      </c>
      <c r="AY51">
        <v>6.0000000000000001E-3</v>
      </c>
      <c r="AZ51">
        <v>9.3840000000000003</v>
      </c>
      <c r="BA51">
        <v>0.60665999999999998</v>
      </c>
      <c r="BB51">
        <v>0.56664999999999999</v>
      </c>
      <c r="BC51">
        <v>0.36</v>
      </c>
      <c r="BD51">
        <v>0.67715258634668396</v>
      </c>
      <c r="BE51" t="s">
        <v>319</v>
      </c>
      <c r="BF51" t="s">
        <v>320</v>
      </c>
    </row>
    <row r="52" spans="1:58" customFormat="1" x14ac:dyDescent="0.35">
      <c r="A52">
        <v>10</v>
      </c>
      <c r="B52">
        <v>10</v>
      </c>
      <c r="C52">
        <v>13</v>
      </c>
      <c r="D52">
        <v>13</v>
      </c>
      <c r="E52">
        <v>13</v>
      </c>
      <c r="F52">
        <v>13</v>
      </c>
      <c r="G52">
        <v>14</v>
      </c>
      <c r="H52">
        <v>10</v>
      </c>
      <c r="I52">
        <v>10</v>
      </c>
      <c r="J52">
        <v>16</v>
      </c>
      <c r="K52">
        <v>16</v>
      </c>
      <c r="L52">
        <v>17</v>
      </c>
      <c r="M52">
        <v>22</v>
      </c>
      <c r="N52">
        <v>24</v>
      </c>
      <c r="O52">
        <v>16</v>
      </c>
      <c r="P52">
        <v>16</v>
      </c>
      <c r="Q52">
        <v>16</v>
      </c>
      <c r="R52">
        <v>22</v>
      </c>
      <c r="S52">
        <v>26</v>
      </c>
      <c r="T52">
        <v>32</v>
      </c>
      <c r="U52">
        <v>38</v>
      </c>
      <c r="V52">
        <f>MAX(A52:U52)</f>
        <v>38</v>
      </c>
      <c r="W52" s="4" t="s">
        <v>107</v>
      </c>
      <c r="X52">
        <v>1.30403573194325E-2</v>
      </c>
      <c r="Y52">
        <v>53.11</v>
      </c>
      <c r="Z52">
        <v>23</v>
      </c>
      <c r="AA52">
        <v>44.1</v>
      </c>
      <c r="AB52">
        <v>52</v>
      </c>
      <c r="AC52">
        <v>24.7</v>
      </c>
      <c r="AD52">
        <v>1.5</v>
      </c>
      <c r="AE52">
        <v>1039</v>
      </c>
      <c r="AF52">
        <v>26.5</v>
      </c>
      <c r="AG52">
        <v>31.8</v>
      </c>
      <c r="AH52">
        <v>21.5</v>
      </c>
      <c r="AI52">
        <v>37.1</v>
      </c>
      <c r="AJ52">
        <v>19.3</v>
      </c>
      <c r="AK52">
        <v>34.700000000000003</v>
      </c>
      <c r="AL52">
        <v>15.8</v>
      </c>
      <c r="AM52">
        <v>27.8</v>
      </c>
      <c r="AN52">
        <v>17.399999999999999</v>
      </c>
      <c r="AO52">
        <v>35.65</v>
      </c>
      <c r="AP52">
        <v>43.45</v>
      </c>
      <c r="AQ52">
        <v>42.9</v>
      </c>
      <c r="AR52">
        <v>159</v>
      </c>
      <c r="AS52" t="s">
        <v>49</v>
      </c>
      <c r="AT52">
        <v>0</v>
      </c>
      <c r="AU52" t="s">
        <v>321</v>
      </c>
      <c r="AV52" t="s">
        <v>47</v>
      </c>
      <c r="AW52" t="s">
        <v>317</v>
      </c>
      <c r="AX52" t="s">
        <v>323</v>
      </c>
      <c r="AY52">
        <v>5.5E-2</v>
      </c>
      <c r="AZ52">
        <v>7.3150000000000004</v>
      </c>
      <c r="BA52">
        <v>0.68257999999999996</v>
      </c>
      <c r="BB52">
        <v>4.1057199999999998</v>
      </c>
      <c r="BC52">
        <v>3.3</v>
      </c>
      <c r="BD52">
        <v>5.2051240473487903</v>
      </c>
      <c r="BE52" t="s">
        <v>319</v>
      </c>
      <c r="BF52" t="s">
        <v>324</v>
      </c>
    </row>
    <row r="53" spans="1:58" customFormat="1" x14ac:dyDescent="0.35">
      <c r="A53">
        <v>10</v>
      </c>
      <c r="B53">
        <v>10</v>
      </c>
      <c r="C53">
        <v>10</v>
      </c>
      <c r="D53">
        <v>10</v>
      </c>
      <c r="E53">
        <v>10</v>
      </c>
      <c r="F53">
        <v>19</v>
      </c>
      <c r="G53">
        <v>20</v>
      </c>
      <c r="H53">
        <v>10</v>
      </c>
      <c r="I53">
        <v>10</v>
      </c>
      <c r="J53">
        <v>10</v>
      </c>
      <c r="K53">
        <v>10</v>
      </c>
      <c r="L53">
        <v>24</v>
      </c>
      <c r="M53">
        <v>30</v>
      </c>
      <c r="N53">
        <v>50</v>
      </c>
      <c r="O53">
        <v>10</v>
      </c>
      <c r="P53">
        <v>10</v>
      </c>
      <c r="Q53">
        <v>20</v>
      </c>
      <c r="R53">
        <v>30</v>
      </c>
      <c r="S53">
        <v>30</v>
      </c>
      <c r="T53">
        <v>50</v>
      </c>
      <c r="U53">
        <v>50</v>
      </c>
      <c r="V53">
        <f>MAX(A53:U53)</f>
        <v>50</v>
      </c>
      <c r="W53" s="4" t="s">
        <v>108</v>
      </c>
      <c r="X53">
        <v>7.1992432138568352E-4</v>
      </c>
      <c r="Y53">
        <v>195.66</v>
      </c>
      <c r="Z53">
        <v>27</v>
      </c>
      <c r="AA53">
        <v>109.6</v>
      </c>
      <c r="AB53">
        <v>42</v>
      </c>
      <c r="AC53">
        <v>33</v>
      </c>
      <c r="AD53">
        <v>24</v>
      </c>
      <c r="AE53">
        <v>2172</v>
      </c>
      <c r="AF53">
        <v>28.7</v>
      </c>
      <c r="AG53">
        <v>33</v>
      </c>
      <c r="AH53">
        <v>19.8</v>
      </c>
      <c r="AI53">
        <v>46.1</v>
      </c>
      <c r="AJ53">
        <v>24</v>
      </c>
      <c r="AK53">
        <v>29.6</v>
      </c>
      <c r="AL53">
        <v>22.7</v>
      </c>
      <c r="AM53">
        <v>30.5</v>
      </c>
      <c r="AN53">
        <v>35.4</v>
      </c>
      <c r="AO53">
        <v>46.05</v>
      </c>
      <c r="AP53">
        <v>53.25</v>
      </c>
      <c r="AQ53">
        <v>48.15</v>
      </c>
      <c r="AR53">
        <v>176</v>
      </c>
      <c r="AS53" t="s">
        <v>46</v>
      </c>
      <c r="AT53" t="s">
        <v>315</v>
      </c>
      <c r="AU53" t="s">
        <v>325</v>
      </c>
      <c r="AV53" t="s">
        <v>52</v>
      </c>
      <c r="AW53" t="s">
        <v>317</v>
      </c>
      <c r="AX53" t="s">
        <v>318</v>
      </c>
      <c r="AY53">
        <v>8.8999999999999996E-2</v>
      </c>
      <c r="AZ53">
        <v>4.1130000000000004</v>
      </c>
      <c r="BA53">
        <v>0.48888999999999999</v>
      </c>
      <c r="BB53">
        <v>10.00032</v>
      </c>
      <c r="BC53">
        <v>5.34</v>
      </c>
      <c r="BD53">
        <v>8.7017999027079593</v>
      </c>
      <c r="BE53" t="s">
        <v>319</v>
      </c>
      <c r="BF53" t="s">
        <v>324</v>
      </c>
    </row>
    <row r="54" spans="1:58" customFormat="1" x14ac:dyDescent="0.35">
      <c r="A54">
        <v>10</v>
      </c>
      <c r="B54">
        <v>10</v>
      </c>
      <c r="C54">
        <v>10</v>
      </c>
      <c r="D54">
        <v>10</v>
      </c>
      <c r="E54">
        <v>10</v>
      </c>
      <c r="F54">
        <v>10</v>
      </c>
      <c r="G54">
        <v>10</v>
      </c>
      <c r="H54">
        <v>10</v>
      </c>
      <c r="I54">
        <v>10</v>
      </c>
      <c r="J54">
        <v>10</v>
      </c>
      <c r="K54">
        <v>10</v>
      </c>
      <c r="L54">
        <v>11</v>
      </c>
      <c r="M54">
        <v>11</v>
      </c>
      <c r="N54">
        <v>11</v>
      </c>
      <c r="O54">
        <v>10</v>
      </c>
      <c r="P54">
        <v>11</v>
      </c>
      <c r="Q54">
        <v>11</v>
      </c>
      <c r="R54">
        <v>13</v>
      </c>
      <c r="S54">
        <v>13</v>
      </c>
      <c r="T54">
        <v>13</v>
      </c>
      <c r="U54">
        <v>13</v>
      </c>
      <c r="V54">
        <f>MAX(A54:U54)</f>
        <v>13</v>
      </c>
      <c r="W54" s="4" t="s">
        <v>109</v>
      </c>
      <c r="X54">
        <v>0.24658711849463349</v>
      </c>
      <c r="Y54">
        <v>1.3</v>
      </c>
      <c r="Z54">
        <v>20</v>
      </c>
      <c r="AA54">
        <v>72.900000000000006</v>
      </c>
      <c r="AB54">
        <v>69</v>
      </c>
      <c r="AC54">
        <v>39.1</v>
      </c>
      <c r="AD54">
        <v>12.5</v>
      </c>
      <c r="AE54">
        <v>1423</v>
      </c>
      <c r="AF54">
        <v>22.3</v>
      </c>
      <c r="AG54">
        <v>20.5</v>
      </c>
      <c r="AH54">
        <v>15.2</v>
      </c>
      <c r="AI54">
        <v>36.200000000000003</v>
      </c>
      <c r="AJ54">
        <v>34.799999999999997</v>
      </c>
      <c r="AK54">
        <v>50.1</v>
      </c>
      <c r="AL54">
        <v>31.1</v>
      </c>
      <c r="AM54">
        <v>44</v>
      </c>
      <c r="AN54">
        <v>28.8</v>
      </c>
      <c r="AO54">
        <v>41.35</v>
      </c>
      <c r="AP54">
        <v>44.9</v>
      </c>
      <c r="AQ54">
        <v>42.35</v>
      </c>
      <c r="AR54">
        <v>159</v>
      </c>
      <c r="AS54" t="s">
        <v>49</v>
      </c>
      <c r="AT54" t="s">
        <v>315</v>
      </c>
      <c r="AU54" t="s">
        <v>321</v>
      </c>
      <c r="AV54" t="s">
        <v>52</v>
      </c>
      <c r="AW54" t="s">
        <v>326</v>
      </c>
      <c r="AX54" t="s">
        <v>323</v>
      </c>
      <c r="AY54">
        <v>8.9999999999999993E-3</v>
      </c>
      <c r="AZ54">
        <v>9.2189999999999994</v>
      </c>
      <c r="BA54">
        <v>0.68508000000000002</v>
      </c>
      <c r="BB54">
        <v>0.63912000000000002</v>
      </c>
      <c r="BC54">
        <v>0.53999999999999904</v>
      </c>
      <c r="BD54">
        <v>0.86200745905626697</v>
      </c>
      <c r="BE54" t="s">
        <v>319</v>
      </c>
      <c r="BF54" t="s">
        <v>320</v>
      </c>
    </row>
    <row r="55" spans="1:58" customFormat="1" x14ac:dyDescent="0.35">
      <c r="A55">
        <v>10</v>
      </c>
      <c r="B55">
        <v>11</v>
      </c>
      <c r="C55">
        <v>11</v>
      </c>
      <c r="D55">
        <v>12</v>
      </c>
      <c r="E55">
        <v>14</v>
      </c>
      <c r="F55">
        <v>13</v>
      </c>
      <c r="G55">
        <v>11</v>
      </c>
      <c r="H55">
        <v>10</v>
      </c>
      <c r="I55">
        <v>10</v>
      </c>
      <c r="J55">
        <v>10</v>
      </c>
      <c r="K55">
        <v>11</v>
      </c>
      <c r="L55">
        <v>20</v>
      </c>
      <c r="M55">
        <v>26</v>
      </c>
      <c r="N55">
        <v>26</v>
      </c>
      <c r="O55">
        <v>10</v>
      </c>
      <c r="P55">
        <v>10</v>
      </c>
      <c r="Q55">
        <v>16</v>
      </c>
      <c r="R55">
        <v>26</v>
      </c>
      <c r="S55">
        <v>26</v>
      </c>
      <c r="T55">
        <v>24</v>
      </c>
      <c r="U55">
        <v>22</v>
      </c>
      <c r="V55">
        <f>MAX(A55:U55)</f>
        <v>26</v>
      </c>
      <c r="W55" s="4" t="s">
        <v>110</v>
      </c>
      <c r="X55">
        <v>0.29610755032092251</v>
      </c>
      <c r="Y55">
        <v>40.89</v>
      </c>
      <c r="Z55">
        <v>31</v>
      </c>
      <c r="AA55">
        <v>75</v>
      </c>
      <c r="AB55">
        <v>45</v>
      </c>
      <c r="AC55">
        <v>35</v>
      </c>
      <c r="AD55">
        <v>7</v>
      </c>
      <c r="AE55">
        <v>1482</v>
      </c>
      <c r="AF55">
        <v>24.7</v>
      </c>
      <c r="AG55">
        <v>22.9</v>
      </c>
      <c r="AH55">
        <v>18</v>
      </c>
      <c r="AI55">
        <v>37.9</v>
      </c>
      <c r="AJ55">
        <v>30.4</v>
      </c>
      <c r="AK55">
        <v>47</v>
      </c>
      <c r="AL55">
        <v>26.7</v>
      </c>
      <c r="AM55">
        <v>41.8</v>
      </c>
      <c r="AN55">
        <v>25.6</v>
      </c>
      <c r="AO55">
        <v>41.9</v>
      </c>
      <c r="AP55">
        <v>52.35</v>
      </c>
      <c r="AQ55">
        <v>47.1</v>
      </c>
      <c r="AR55">
        <v>171</v>
      </c>
      <c r="AS55" t="s">
        <v>49</v>
      </c>
      <c r="AT55" t="s">
        <v>315</v>
      </c>
      <c r="AU55" t="s">
        <v>321</v>
      </c>
      <c r="AV55" t="s">
        <v>52</v>
      </c>
      <c r="AW55" t="s">
        <v>317</v>
      </c>
      <c r="AX55" t="s">
        <v>318</v>
      </c>
      <c r="AY55">
        <v>0.04</v>
      </c>
      <c r="AZ55">
        <v>8.35</v>
      </c>
      <c r="BA55">
        <v>0.45966000000000001</v>
      </c>
      <c r="BB55">
        <v>4.7004299999999999</v>
      </c>
      <c r="BC55">
        <v>2.4</v>
      </c>
      <c r="BD55">
        <v>3.5745094859737301</v>
      </c>
      <c r="BE55" t="s">
        <v>319</v>
      </c>
      <c r="BF55" t="s">
        <v>320</v>
      </c>
    </row>
    <row r="56" spans="1:58" customFormat="1" x14ac:dyDescent="0.35">
      <c r="A56">
        <v>10</v>
      </c>
      <c r="B56">
        <v>10</v>
      </c>
      <c r="C56">
        <v>10</v>
      </c>
      <c r="D56">
        <v>10</v>
      </c>
      <c r="E56">
        <v>10</v>
      </c>
      <c r="F56">
        <v>10</v>
      </c>
      <c r="G56">
        <v>10</v>
      </c>
      <c r="H56">
        <v>10</v>
      </c>
      <c r="I56">
        <v>10</v>
      </c>
      <c r="J56">
        <v>10</v>
      </c>
      <c r="K56">
        <v>10</v>
      </c>
      <c r="L56">
        <v>14</v>
      </c>
      <c r="M56">
        <v>14</v>
      </c>
      <c r="N56">
        <v>14</v>
      </c>
      <c r="O56">
        <v>14</v>
      </c>
      <c r="P56">
        <v>18</v>
      </c>
      <c r="Q56">
        <v>18</v>
      </c>
      <c r="R56">
        <v>18</v>
      </c>
      <c r="S56">
        <v>18</v>
      </c>
      <c r="T56">
        <v>18</v>
      </c>
      <c r="U56">
        <v>18</v>
      </c>
      <c r="V56">
        <f>MAX(A56:U56)</f>
        <v>18</v>
      </c>
      <c r="W56" s="4" t="s">
        <v>111</v>
      </c>
      <c r="X56">
        <v>7.2176519869655933E-7</v>
      </c>
      <c r="Y56">
        <v>12.05</v>
      </c>
      <c r="Z56">
        <v>29</v>
      </c>
      <c r="AA56">
        <v>77.099999999999994</v>
      </c>
      <c r="AB56">
        <v>54</v>
      </c>
      <c r="AC56">
        <v>21.7</v>
      </c>
      <c r="AD56">
        <v>9.5</v>
      </c>
      <c r="AE56">
        <v>1728</v>
      </c>
      <c r="AF56">
        <v>32.9</v>
      </c>
      <c r="AG56">
        <v>37</v>
      </c>
      <c r="AH56">
        <v>26.2</v>
      </c>
      <c r="AI56">
        <v>50.1</v>
      </c>
      <c r="AJ56">
        <v>15.1</v>
      </c>
      <c r="AK56">
        <v>19.100000000000001</v>
      </c>
      <c r="AL56">
        <v>13.4</v>
      </c>
      <c r="AM56">
        <v>19</v>
      </c>
      <c r="AN56">
        <v>23.8</v>
      </c>
      <c r="AO56">
        <v>39.950000000000003</v>
      </c>
      <c r="AP56">
        <v>48.15</v>
      </c>
      <c r="AQ56">
        <v>48.6</v>
      </c>
      <c r="AR56">
        <v>180</v>
      </c>
      <c r="AS56" t="s">
        <v>46</v>
      </c>
      <c r="AT56" t="s">
        <v>330</v>
      </c>
      <c r="AU56" t="s">
        <v>325</v>
      </c>
      <c r="AV56" t="s">
        <v>47</v>
      </c>
      <c r="AW56" t="s">
        <v>326</v>
      </c>
      <c r="AX56" t="s">
        <v>318</v>
      </c>
      <c r="AY56">
        <v>2.9000000000000001E-2</v>
      </c>
      <c r="AZ56">
        <v>7.7549999999999999</v>
      </c>
      <c r="BA56">
        <v>0.81664000000000003</v>
      </c>
      <c r="BB56">
        <v>1.48614</v>
      </c>
      <c r="BC56">
        <v>1.74</v>
      </c>
      <c r="BD56">
        <v>2.50624290578887</v>
      </c>
      <c r="BE56" t="s">
        <v>319</v>
      </c>
      <c r="BF56" t="s">
        <v>320</v>
      </c>
    </row>
    <row r="57" spans="1:58" customFormat="1" x14ac:dyDescent="0.35">
      <c r="A57">
        <v>10</v>
      </c>
      <c r="B57">
        <v>10</v>
      </c>
      <c r="C57">
        <v>10</v>
      </c>
      <c r="D57">
        <v>10</v>
      </c>
      <c r="E57">
        <v>10</v>
      </c>
      <c r="F57">
        <v>10</v>
      </c>
      <c r="G57">
        <v>12</v>
      </c>
      <c r="H57">
        <v>10</v>
      </c>
      <c r="I57">
        <v>10</v>
      </c>
      <c r="J57">
        <v>10</v>
      </c>
      <c r="K57">
        <v>11</v>
      </c>
      <c r="L57">
        <v>12</v>
      </c>
      <c r="M57">
        <v>14</v>
      </c>
      <c r="N57">
        <v>14</v>
      </c>
      <c r="O57">
        <v>10</v>
      </c>
      <c r="P57">
        <v>12</v>
      </c>
      <c r="Q57">
        <v>14</v>
      </c>
      <c r="R57">
        <v>15</v>
      </c>
      <c r="S57">
        <v>16</v>
      </c>
      <c r="T57">
        <v>15</v>
      </c>
      <c r="U57">
        <v>15</v>
      </c>
      <c r="V57">
        <f>MAX(A57:U57)</f>
        <v>16</v>
      </c>
      <c r="W57" s="4" t="s">
        <v>112</v>
      </c>
      <c r="X57">
        <v>1.7102169937474129E-4</v>
      </c>
      <c r="Y57">
        <v>4.5599999999999996</v>
      </c>
      <c r="Z57">
        <v>21</v>
      </c>
      <c r="AA57">
        <v>65.3</v>
      </c>
      <c r="AB57">
        <v>54</v>
      </c>
      <c r="AC57">
        <v>36.6</v>
      </c>
      <c r="AD57">
        <v>7.5</v>
      </c>
      <c r="AE57">
        <v>1322</v>
      </c>
      <c r="AF57">
        <v>23</v>
      </c>
      <c r="AG57">
        <v>23.1</v>
      </c>
      <c r="AH57">
        <v>17</v>
      </c>
      <c r="AI57">
        <v>35.9</v>
      </c>
      <c r="AJ57">
        <v>30.6</v>
      </c>
      <c r="AK57">
        <v>48.8</v>
      </c>
      <c r="AL57">
        <v>27.4</v>
      </c>
      <c r="AM57">
        <v>42.3</v>
      </c>
      <c r="AN57">
        <v>24.9</v>
      </c>
      <c r="AO57">
        <v>42.2</v>
      </c>
      <c r="AP57">
        <v>45.5</v>
      </c>
      <c r="AQ57">
        <v>40.549999999999997</v>
      </c>
      <c r="AR57">
        <v>162</v>
      </c>
      <c r="AS57" t="s">
        <v>49</v>
      </c>
      <c r="AT57" t="s">
        <v>315</v>
      </c>
      <c r="AU57" t="s">
        <v>321</v>
      </c>
      <c r="AV57" t="s">
        <v>47</v>
      </c>
      <c r="AW57" t="s">
        <v>326</v>
      </c>
      <c r="AX57" t="s">
        <v>323</v>
      </c>
      <c r="AY57">
        <v>1.6E-2</v>
      </c>
      <c r="AZ57">
        <v>8.8659999999999997</v>
      </c>
      <c r="BA57">
        <v>0.71062000000000003</v>
      </c>
      <c r="BB57">
        <v>1.1490199999999999</v>
      </c>
      <c r="BC57">
        <v>0.96</v>
      </c>
      <c r="BD57">
        <v>1.4788389816766601</v>
      </c>
      <c r="BE57" t="s">
        <v>319</v>
      </c>
      <c r="BF57" t="s">
        <v>320</v>
      </c>
    </row>
    <row r="58" spans="1:58" customFormat="1" x14ac:dyDescent="0.35">
      <c r="A58">
        <v>14</v>
      </c>
      <c r="B58">
        <v>15</v>
      </c>
      <c r="C58">
        <v>16</v>
      </c>
      <c r="D58">
        <v>18</v>
      </c>
      <c r="E58">
        <v>18</v>
      </c>
      <c r="F58">
        <v>20</v>
      </c>
      <c r="G58">
        <v>22</v>
      </c>
      <c r="H58">
        <v>12</v>
      </c>
      <c r="I58">
        <v>15</v>
      </c>
      <c r="J58">
        <v>22</v>
      </c>
      <c r="K58">
        <v>22</v>
      </c>
      <c r="L58">
        <v>23</v>
      </c>
      <c r="M58">
        <v>22</v>
      </c>
      <c r="N58">
        <v>26</v>
      </c>
      <c r="O58">
        <v>26</v>
      </c>
      <c r="P58">
        <v>28</v>
      </c>
      <c r="Q58">
        <v>27</v>
      </c>
      <c r="R58">
        <v>31</v>
      </c>
      <c r="S58">
        <v>28</v>
      </c>
      <c r="T58">
        <v>26</v>
      </c>
      <c r="U58">
        <v>33</v>
      </c>
      <c r="V58">
        <f>MAX(A58:U58)</f>
        <v>33</v>
      </c>
      <c r="W58" s="4" t="s">
        <v>113</v>
      </c>
      <c r="X58">
        <v>6.2991031408645059E-6</v>
      </c>
      <c r="Y58">
        <v>32.47</v>
      </c>
      <c r="Z58">
        <v>31</v>
      </c>
      <c r="AA58">
        <v>67.900000000000006</v>
      </c>
      <c r="AB58">
        <v>59</v>
      </c>
      <c r="AC58">
        <v>27.5</v>
      </c>
      <c r="AD58">
        <v>10</v>
      </c>
      <c r="AE58">
        <v>1537</v>
      </c>
      <c r="AF58">
        <v>28.8</v>
      </c>
      <c r="AG58">
        <v>35.200000000000003</v>
      </c>
      <c r="AH58">
        <v>21.5</v>
      </c>
      <c r="AI58">
        <v>46.3</v>
      </c>
      <c r="AJ58">
        <v>18.600000000000001</v>
      </c>
      <c r="AK58">
        <v>24.9</v>
      </c>
      <c r="AL58">
        <v>16.5</v>
      </c>
      <c r="AM58">
        <v>25.2</v>
      </c>
      <c r="AN58">
        <v>23.2</v>
      </c>
      <c r="AO58">
        <v>39.15</v>
      </c>
      <c r="AP58">
        <v>47.05</v>
      </c>
      <c r="AQ58">
        <v>46.75</v>
      </c>
      <c r="AR58">
        <v>171</v>
      </c>
      <c r="AS58" t="s">
        <v>46</v>
      </c>
      <c r="AT58" t="s">
        <v>330</v>
      </c>
      <c r="AU58" t="s">
        <v>316</v>
      </c>
      <c r="AV58" t="s">
        <v>47</v>
      </c>
      <c r="AW58" t="s">
        <v>326</v>
      </c>
      <c r="AX58" t="s">
        <v>318</v>
      </c>
      <c r="AY58">
        <v>4.5999999999999999E-2</v>
      </c>
      <c r="AZ58">
        <v>13.503</v>
      </c>
      <c r="BA58">
        <v>0.79834000000000005</v>
      </c>
      <c r="BB58">
        <v>2.5587599999999999</v>
      </c>
      <c r="BC58">
        <v>2.76</v>
      </c>
      <c r="BD58" s="7">
        <v>3.9403275498621602</v>
      </c>
      <c r="BE58" t="s">
        <v>319</v>
      </c>
      <c r="BF58" t="s">
        <v>320</v>
      </c>
    </row>
    <row r="59" spans="1:58" customFormat="1" x14ac:dyDescent="0.35">
      <c r="A59">
        <v>10</v>
      </c>
      <c r="B59">
        <v>10</v>
      </c>
      <c r="C59">
        <v>10</v>
      </c>
      <c r="D59">
        <v>12</v>
      </c>
      <c r="E59">
        <v>12</v>
      </c>
      <c r="F59">
        <v>12</v>
      </c>
      <c r="G59">
        <v>12</v>
      </c>
      <c r="H59">
        <v>10</v>
      </c>
      <c r="I59">
        <v>12</v>
      </c>
      <c r="J59">
        <v>13</v>
      </c>
      <c r="K59">
        <v>12</v>
      </c>
      <c r="L59">
        <v>13</v>
      </c>
      <c r="M59">
        <v>16</v>
      </c>
      <c r="N59">
        <v>15</v>
      </c>
      <c r="O59">
        <v>14</v>
      </c>
      <c r="P59">
        <v>18</v>
      </c>
      <c r="Q59">
        <v>21</v>
      </c>
      <c r="R59">
        <v>19</v>
      </c>
      <c r="S59">
        <v>18</v>
      </c>
      <c r="T59">
        <v>18</v>
      </c>
      <c r="U59">
        <v>22</v>
      </c>
      <c r="V59">
        <f>MAX(A59:U59)</f>
        <v>22</v>
      </c>
      <c r="W59" s="4" t="s">
        <v>114</v>
      </c>
      <c r="X59">
        <v>0.25965550726966741</v>
      </c>
      <c r="Y59">
        <v>13.32</v>
      </c>
      <c r="Z59">
        <v>29</v>
      </c>
      <c r="AA59">
        <v>92.5</v>
      </c>
      <c r="AB59">
        <v>41</v>
      </c>
      <c r="AC59">
        <v>32.4</v>
      </c>
      <c r="AD59">
        <v>14</v>
      </c>
      <c r="AE59">
        <v>1910</v>
      </c>
      <c r="AF59">
        <v>28.9</v>
      </c>
      <c r="AG59">
        <v>34.1</v>
      </c>
      <c r="AH59">
        <v>20.2</v>
      </c>
      <c r="AI59">
        <v>46.3</v>
      </c>
      <c r="AJ59">
        <v>22.4</v>
      </c>
      <c r="AK59">
        <v>31.9</v>
      </c>
      <c r="AL59">
        <v>20.399999999999999</v>
      </c>
      <c r="AM59">
        <v>32.4</v>
      </c>
      <c r="AN59">
        <v>27.6</v>
      </c>
      <c r="AO59">
        <v>46.2</v>
      </c>
      <c r="AP59">
        <v>52.45</v>
      </c>
      <c r="AQ59">
        <v>49.75</v>
      </c>
      <c r="AR59">
        <v>183</v>
      </c>
      <c r="AS59" t="s">
        <v>46</v>
      </c>
      <c r="AT59" t="s">
        <v>315</v>
      </c>
      <c r="AU59" t="s">
        <v>321</v>
      </c>
      <c r="AV59" t="s">
        <v>52</v>
      </c>
      <c r="AW59" t="s">
        <v>317</v>
      </c>
      <c r="AX59" t="s">
        <v>318</v>
      </c>
      <c r="AY59">
        <v>0.03</v>
      </c>
      <c r="AZ59">
        <v>8.6519999999999992</v>
      </c>
      <c r="BA59">
        <v>0.82233000000000001</v>
      </c>
      <c r="BB59">
        <v>1.5386299999999999</v>
      </c>
      <c r="BC59">
        <v>1.7999999999999901</v>
      </c>
      <c r="BD59">
        <v>2.5821306956380701</v>
      </c>
      <c r="BE59" t="s">
        <v>319</v>
      </c>
      <c r="BF59" t="s">
        <v>320</v>
      </c>
    </row>
    <row r="60" spans="1:58" customFormat="1" x14ac:dyDescent="0.35">
      <c r="A60">
        <v>10</v>
      </c>
      <c r="B60">
        <v>11</v>
      </c>
      <c r="C60">
        <v>11</v>
      </c>
      <c r="D60">
        <v>13</v>
      </c>
      <c r="E60">
        <v>14</v>
      </c>
      <c r="F60">
        <v>18</v>
      </c>
      <c r="G60">
        <v>15</v>
      </c>
      <c r="H60">
        <v>10</v>
      </c>
      <c r="I60">
        <v>17</v>
      </c>
      <c r="J60">
        <v>26</v>
      </c>
      <c r="K60">
        <v>25</v>
      </c>
      <c r="L60">
        <v>32</v>
      </c>
      <c r="M60">
        <v>34</v>
      </c>
      <c r="N60">
        <v>35</v>
      </c>
      <c r="O60">
        <v>34</v>
      </c>
      <c r="P60">
        <v>32</v>
      </c>
      <c r="Q60">
        <v>35</v>
      </c>
      <c r="R60">
        <v>41</v>
      </c>
      <c r="S60">
        <v>34</v>
      </c>
      <c r="T60">
        <v>41</v>
      </c>
      <c r="U60">
        <v>43</v>
      </c>
      <c r="V60">
        <f>MAX(A60:U60)</f>
        <v>43</v>
      </c>
      <c r="W60" s="4" t="s">
        <v>115</v>
      </c>
      <c r="X60">
        <v>3.483449488340057E-8</v>
      </c>
      <c r="Y60">
        <v>128.38999999999999</v>
      </c>
      <c r="Z60">
        <v>28</v>
      </c>
      <c r="AA60">
        <v>60.5</v>
      </c>
      <c r="AB60">
        <v>50</v>
      </c>
      <c r="AC60">
        <v>33.6</v>
      </c>
      <c r="AD60">
        <v>7.5</v>
      </c>
      <c r="AE60">
        <v>1262</v>
      </c>
      <c r="AF60">
        <v>24</v>
      </c>
      <c r="AG60">
        <v>25.3</v>
      </c>
      <c r="AH60">
        <v>18</v>
      </c>
      <c r="AI60">
        <v>36.9</v>
      </c>
      <c r="AJ60">
        <v>29.1</v>
      </c>
      <c r="AK60">
        <v>44.7</v>
      </c>
      <c r="AL60">
        <v>25.4</v>
      </c>
      <c r="AM60">
        <v>39</v>
      </c>
      <c r="AN60">
        <v>24.9</v>
      </c>
      <c r="AO60">
        <v>36.85</v>
      </c>
      <c r="AP60">
        <v>44.65</v>
      </c>
      <c r="AQ60">
        <v>43.55</v>
      </c>
      <c r="AR60">
        <v>156</v>
      </c>
      <c r="AS60" t="s">
        <v>49</v>
      </c>
      <c r="AT60" t="s">
        <v>315</v>
      </c>
      <c r="AU60" t="s">
        <v>321</v>
      </c>
      <c r="AV60" t="s">
        <v>47</v>
      </c>
      <c r="AW60" t="s">
        <v>317</v>
      </c>
      <c r="AX60" t="s">
        <v>323</v>
      </c>
      <c r="AY60">
        <v>9.8000000000000004E-2</v>
      </c>
      <c r="AZ60">
        <v>7.09</v>
      </c>
      <c r="BA60">
        <v>0.90539000000000003</v>
      </c>
      <c r="BB60">
        <v>3.4853700000000001</v>
      </c>
      <c r="BC60">
        <v>5.88</v>
      </c>
      <c r="BD60">
        <v>6.4154370034052199</v>
      </c>
      <c r="BE60" t="s">
        <v>319</v>
      </c>
      <c r="BF60" t="s">
        <v>324</v>
      </c>
    </row>
    <row r="61" spans="1:58" customFormat="1" x14ac:dyDescent="0.35">
      <c r="A61">
        <v>32</v>
      </c>
      <c r="B61">
        <v>34</v>
      </c>
      <c r="C61">
        <v>34</v>
      </c>
      <c r="D61">
        <v>34</v>
      </c>
      <c r="E61">
        <v>27</v>
      </c>
      <c r="F61">
        <v>26</v>
      </c>
      <c r="G61">
        <v>26</v>
      </c>
      <c r="H61">
        <v>14</v>
      </c>
      <c r="I61">
        <v>20</v>
      </c>
      <c r="J61">
        <v>20</v>
      </c>
      <c r="K61">
        <v>17</v>
      </c>
      <c r="L61">
        <v>19</v>
      </c>
      <c r="M61">
        <v>19</v>
      </c>
      <c r="N61">
        <v>18</v>
      </c>
      <c r="O61">
        <v>12</v>
      </c>
      <c r="P61">
        <v>14</v>
      </c>
      <c r="Q61">
        <v>13</v>
      </c>
      <c r="R61">
        <v>14</v>
      </c>
      <c r="S61">
        <v>13</v>
      </c>
      <c r="T61">
        <v>13</v>
      </c>
      <c r="U61">
        <v>14</v>
      </c>
      <c r="V61">
        <f>MAX(A61:U61)</f>
        <v>34</v>
      </c>
      <c r="W61" s="4" t="s">
        <v>116</v>
      </c>
      <c r="X61">
        <v>8.5905273398138859E-3</v>
      </c>
      <c r="Y61">
        <v>57.85</v>
      </c>
      <c r="Z61">
        <v>22</v>
      </c>
      <c r="AA61">
        <v>68.8</v>
      </c>
      <c r="AB61">
        <v>45</v>
      </c>
      <c r="AC61">
        <v>16.100000000000001</v>
      </c>
      <c r="AD61">
        <v>8</v>
      </c>
      <c r="AE61">
        <v>1619</v>
      </c>
      <c r="AF61">
        <v>35</v>
      </c>
      <c r="AG61">
        <v>38.799999999999997</v>
      </c>
      <c r="AH61">
        <v>29.4</v>
      </c>
      <c r="AI61">
        <v>52.2</v>
      </c>
      <c r="AJ61">
        <v>11.6</v>
      </c>
      <c r="AK61">
        <v>14.7</v>
      </c>
      <c r="AL61">
        <v>10.3</v>
      </c>
      <c r="AM61">
        <v>14.1</v>
      </c>
      <c r="AN61">
        <v>23.3</v>
      </c>
      <c r="AO61">
        <v>38.200000000000003</v>
      </c>
      <c r="AP61">
        <v>47.35</v>
      </c>
      <c r="AQ61">
        <v>47.1</v>
      </c>
      <c r="AR61">
        <v>172</v>
      </c>
      <c r="AS61" t="s">
        <v>46</v>
      </c>
      <c r="AT61" t="s">
        <v>315</v>
      </c>
      <c r="AU61" t="s">
        <v>322</v>
      </c>
      <c r="AV61" t="s">
        <v>47</v>
      </c>
      <c r="AW61" t="s">
        <v>317</v>
      </c>
      <c r="AX61" t="s">
        <v>318</v>
      </c>
      <c r="AY61">
        <v>-6.2E-2</v>
      </c>
      <c r="AZ61">
        <v>32.026000000000003</v>
      </c>
      <c r="BA61">
        <v>0.78969</v>
      </c>
      <c r="BB61">
        <v>3.4881899999999999</v>
      </c>
      <c r="BC61">
        <v>-3.71999999999999</v>
      </c>
      <c r="BD61">
        <v>-1.45159721096156</v>
      </c>
      <c r="BE61" t="s">
        <v>329</v>
      </c>
      <c r="BF61" t="s">
        <v>320</v>
      </c>
    </row>
    <row r="62" spans="1:58" customFormat="1" x14ac:dyDescent="0.35">
      <c r="A62">
        <v>10</v>
      </c>
      <c r="B62">
        <v>10</v>
      </c>
      <c r="C62">
        <v>10</v>
      </c>
      <c r="D62">
        <v>10</v>
      </c>
      <c r="E62">
        <v>10</v>
      </c>
      <c r="F62">
        <v>10</v>
      </c>
      <c r="G62">
        <v>10</v>
      </c>
      <c r="H62">
        <v>10</v>
      </c>
      <c r="I62">
        <v>10</v>
      </c>
      <c r="J62">
        <v>10</v>
      </c>
      <c r="K62">
        <v>10</v>
      </c>
      <c r="L62">
        <v>10</v>
      </c>
      <c r="M62">
        <v>10</v>
      </c>
      <c r="N62">
        <v>10</v>
      </c>
      <c r="O62">
        <v>10</v>
      </c>
      <c r="P62">
        <v>10</v>
      </c>
      <c r="Q62">
        <v>10</v>
      </c>
      <c r="R62">
        <v>10</v>
      </c>
      <c r="S62">
        <v>10</v>
      </c>
      <c r="T62">
        <v>10</v>
      </c>
      <c r="U62">
        <v>10</v>
      </c>
      <c r="V62">
        <f>MAX(A62:U62)</f>
        <v>10</v>
      </c>
      <c r="W62" s="4" t="s">
        <v>122</v>
      </c>
      <c r="Y62">
        <v>0</v>
      </c>
      <c r="Z62">
        <v>26</v>
      </c>
      <c r="AA62">
        <v>63.3</v>
      </c>
      <c r="AB62">
        <v>53</v>
      </c>
      <c r="AC62">
        <v>32.9</v>
      </c>
      <c r="AD62">
        <v>5</v>
      </c>
      <c r="AE62">
        <v>1311</v>
      </c>
      <c r="AF62">
        <v>24.8</v>
      </c>
      <c r="AG62">
        <v>25.7</v>
      </c>
      <c r="AH62">
        <v>18.8</v>
      </c>
      <c r="AI62">
        <v>37.700000000000003</v>
      </c>
      <c r="AJ62">
        <v>27.2</v>
      </c>
      <c r="AK62">
        <v>44.2</v>
      </c>
      <c r="AL62">
        <v>23.9</v>
      </c>
      <c r="AM62">
        <v>37.6</v>
      </c>
      <c r="AN62">
        <v>22.7</v>
      </c>
      <c r="AO62">
        <v>41.55</v>
      </c>
      <c r="AP62">
        <v>50</v>
      </c>
      <c r="AQ62">
        <v>45.35</v>
      </c>
      <c r="AR62">
        <v>167</v>
      </c>
      <c r="AS62" t="s">
        <v>49</v>
      </c>
      <c r="AT62" t="s">
        <v>327</v>
      </c>
      <c r="AU62" t="s">
        <v>321</v>
      </c>
      <c r="AV62" t="s">
        <v>47</v>
      </c>
      <c r="AW62" t="s">
        <v>326</v>
      </c>
      <c r="AX62" t="s">
        <v>318</v>
      </c>
      <c r="AY62">
        <v>0</v>
      </c>
      <c r="AZ62">
        <v>10</v>
      </c>
      <c r="BA62">
        <v>0</v>
      </c>
      <c r="BB62">
        <v>0</v>
      </c>
      <c r="BC62">
        <v>0</v>
      </c>
      <c r="BD62">
        <v>0</v>
      </c>
      <c r="BE62" t="s">
        <v>328</v>
      </c>
      <c r="BF62" t="s">
        <v>320</v>
      </c>
    </row>
    <row r="63" spans="1:58" customFormat="1" x14ac:dyDescent="0.35">
      <c r="A63">
        <v>10</v>
      </c>
      <c r="B63">
        <v>13</v>
      </c>
      <c r="C63">
        <v>15</v>
      </c>
      <c r="D63">
        <v>17</v>
      </c>
      <c r="E63">
        <v>20</v>
      </c>
      <c r="F63">
        <v>23</v>
      </c>
      <c r="G63">
        <v>25</v>
      </c>
      <c r="H63">
        <v>12</v>
      </c>
      <c r="I63">
        <v>19</v>
      </c>
      <c r="J63">
        <v>29</v>
      </c>
      <c r="K63">
        <v>29</v>
      </c>
      <c r="L63">
        <v>31</v>
      </c>
      <c r="M63">
        <v>33</v>
      </c>
      <c r="N63">
        <v>34</v>
      </c>
      <c r="O63">
        <v>21</v>
      </c>
      <c r="P63">
        <v>29</v>
      </c>
      <c r="Q63">
        <v>34</v>
      </c>
      <c r="R63">
        <v>37</v>
      </c>
      <c r="S63">
        <v>41</v>
      </c>
      <c r="T63">
        <v>39</v>
      </c>
      <c r="U63">
        <v>39</v>
      </c>
      <c r="V63">
        <f>MAX(A63:U63)</f>
        <v>41</v>
      </c>
      <c r="W63" s="4" t="s">
        <v>117</v>
      </c>
      <c r="X63">
        <v>5.7976867915629582E-7</v>
      </c>
      <c r="Y63">
        <v>88.34</v>
      </c>
      <c r="Z63">
        <v>28</v>
      </c>
      <c r="AA63">
        <v>46</v>
      </c>
      <c r="AB63">
        <v>44</v>
      </c>
      <c r="AC63">
        <v>30</v>
      </c>
      <c r="AD63">
        <v>3.5</v>
      </c>
      <c r="AE63">
        <v>1050</v>
      </c>
      <c r="AF63">
        <v>24.1</v>
      </c>
      <c r="AG63">
        <v>28.6</v>
      </c>
      <c r="AH63">
        <v>19.3</v>
      </c>
      <c r="AI63">
        <v>35.700000000000003</v>
      </c>
      <c r="AJ63">
        <v>24.1</v>
      </c>
      <c r="AK63">
        <v>41.1</v>
      </c>
      <c r="AL63">
        <v>20.9</v>
      </c>
      <c r="AM63">
        <v>34.299999999999997</v>
      </c>
      <c r="AN63">
        <v>20.399999999999999</v>
      </c>
      <c r="AO63">
        <v>37.65</v>
      </c>
      <c r="AP63">
        <v>45.3</v>
      </c>
      <c r="AQ63">
        <v>38.85</v>
      </c>
      <c r="AR63">
        <v>150</v>
      </c>
      <c r="AS63" t="s">
        <v>49</v>
      </c>
      <c r="AT63" t="s">
        <v>315</v>
      </c>
      <c r="AU63" t="s">
        <v>321</v>
      </c>
      <c r="AV63" t="s">
        <v>47</v>
      </c>
      <c r="AW63" t="s">
        <v>317</v>
      </c>
      <c r="AX63" t="s">
        <v>323</v>
      </c>
      <c r="AY63">
        <v>7.8E-2</v>
      </c>
      <c r="AZ63">
        <v>11.847</v>
      </c>
      <c r="BA63">
        <v>0.81762999999999997</v>
      </c>
      <c r="BB63">
        <v>4.0138999999999996</v>
      </c>
      <c r="BC63">
        <v>4.68</v>
      </c>
      <c r="BD63">
        <v>5.3335495378628099</v>
      </c>
      <c r="BE63" t="s">
        <v>319</v>
      </c>
      <c r="BF63" t="s">
        <v>324</v>
      </c>
    </row>
    <row r="64" spans="1:58" customFormat="1" x14ac:dyDescent="0.35">
      <c r="A64">
        <v>10</v>
      </c>
      <c r="B64">
        <v>10</v>
      </c>
      <c r="C64">
        <v>10</v>
      </c>
      <c r="D64">
        <v>12</v>
      </c>
      <c r="E64">
        <v>16</v>
      </c>
      <c r="F64">
        <v>16</v>
      </c>
      <c r="G64">
        <v>16</v>
      </c>
      <c r="H64">
        <v>10</v>
      </c>
      <c r="I64">
        <v>10</v>
      </c>
      <c r="J64">
        <v>10</v>
      </c>
      <c r="K64">
        <v>10</v>
      </c>
      <c r="L64">
        <v>12</v>
      </c>
      <c r="M64">
        <v>12</v>
      </c>
      <c r="N64">
        <v>18</v>
      </c>
      <c r="O64">
        <v>10</v>
      </c>
      <c r="P64">
        <v>10</v>
      </c>
      <c r="Q64">
        <v>14</v>
      </c>
      <c r="R64">
        <v>16</v>
      </c>
      <c r="S64">
        <v>20</v>
      </c>
      <c r="T64">
        <v>21</v>
      </c>
      <c r="U64">
        <v>28</v>
      </c>
      <c r="V64">
        <f>MAX(A64:U64)</f>
        <v>28</v>
      </c>
      <c r="W64" s="4" t="s">
        <v>118</v>
      </c>
      <c r="X64">
        <v>0.19833404904084159</v>
      </c>
      <c r="Y64">
        <v>22.31</v>
      </c>
      <c r="Z64">
        <v>27</v>
      </c>
      <c r="AA64">
        <v>67.599999999999994</v>
      </c>
      <c r="AB64">
        <v>51</v>
      </c>
      <c r="AC64">
        <v>24.3</v>
      </c>
      <c r="AD64">
        <v>10.5</v>
      </c>
      <c r="AE64">
        <v>1549</v>
      </c>
      <c r="AF64">
        <v>30.2</v>
      </c>
      <c r="AG64">
        <v>36.1</v>
      </c>
      <c r="AH64">
        <v>23.5</v>
      </c>
      <c r="AI64">
        <v>47.6</v>
      </c>
      <c r="AJ64">
        <v>16.8</v>
      </c>
      <c r="AK64">
        <v>22.3</v>
      </c>
      <c r="AL64">
        <v>15</v>
      </c>
      <c r="AM64">
        <v>22.3</v>
      </c>
      <c r="AN64">
        <v>24.2</v>
      </c>
      <c r="AO64">
        <v>38.049999999999997</v>
      </c>
      <c r="AP64">
        <v>46.15</v>
      </c>
      <c r="AQ64">
        <v>44</v>
      </c>
      <c r="AR64">
        <v>167</v>
      </c>
      <c r="AS64" t="s">
        <v>46</v>
      </c>
      <c r="AT64" t="s">
        <v>315</v>
      </c>
      <c r="AU64" t="s">
        <v>321</v>
      </c>
      <c r="AV64" t="s">
        <v>47</v>
      </c>
      <c r="AW64" t="s">
        <v>317</v>
      </c>
      <c r="AX64" t="s">
        <v>318</v>
      </c>
      <c r="AY64">
        <v>2.5999999999999999E-2</v>
      </c>
      <c r="AZ64">
        <v>9.0299999999999994</v>
      </c>
      <c r="BA64">
        <v>0.36671999999999999</v>
      </c>
      <c r="BB64">
        <v>3.7590400000000002</v>
      </c>
      <c r="BC64">
        <v>1.5599999999999901</v>
      </c>
      <c r="BD64">
        <v>3.5433760337278999</v>
      </c>
      <c r="BE64" t="s">
        <v>319</v>
      </c>
      <c r="BF64" t="s">
        <v>320</v>
      </c>
    </row>
    <row r="65" spans="1:58" customFormat="1" x14ac:dyDescent="0.35">
      <c r="A65">
        <v>12</v>
      </c>
      <c r="B65">
        <v>16</v>
      </c>
      <c r="C65">
        <v>12</v>
      </c>
      <c r="D65">
        <v>12</v>
      </c>
      <c r="E65">
        <v>12</v>
      </c>
      <c r="F65">
        <v>14</v>
      </c>
      <c r="G65">
        <v>14</v>
      </c>
      <c r="H65">
        <v>12</v>
      </c>
      <c r="I65">
        <v>16</v>
      </c>
      <c r="J65">
        <v>16</v>
      </c>
      <c r="K65">
        <v>16</v>
      </c>
      <c r="L65">
        <v>18</v>
      </c>
      <c r="M65">
        <v>18</v>
      </c>
      <c r="N65">
        <v>20</v>
      </c>
      <c r="O65">
        <v>12</v>
      </c>
      <c r="P65">
        <v>14</v>
      </c>
      <c r="Q65">
        <v>16</v>
      </c>
      <c r="R65">
        <v>16</v>
      </c>
      <c r="S65">
        <v>14</v>
      </c>
      <c r="T65">
        <v>18</v>
      </c>
      <c r="U65">
        <v>16</v>
      </c>
      <c r="V65">
        <f>MAX(A65:U65)</f>
        <v>20</v>
      </c>
      <c r="W65" s="4" t="s">
        <v>121</v>
      </c>
      <c r="X65">
        <v>1.6841957594308191E-2</v>
      </c>
      <c r="Y65">
        <v>5.57</v>
      </c>
      <c r="Z65">
        <v>24</v>
      </c>
      <c r="AA65">
        <v>82.7</v>
      </c>
      <c r="AB65">
        <v>49</v>
      </c>
      <c r="AC65">
        <v>38.6</v>
      </c>
      <c r="AD65">
        <v>12.5</v>
      </c>
      <c r="AE65">
        <v>1576</v>
      </c>
      <c r="AF65">
        <v>23.2</v>
      </c>
      <c r="AG65">
        <v>19.5</v>
      </c>
      <c r="AH65">
        <v>15.9</v>
      </c>
      <c r="AI65">
        <v>37</v>
      </c>
      <c r="AJ65">
        <v>35.4</v>
      </c>
      <c r="AK65">
        <v>51</v>
      </c>
      <c r="AL65">
        <v>31.3</v>
      </c>
      <c r="AM65">
        <v>47</v>
      </c>
      <c r="AN65">
        <v>30</v>
      </c>
      <c r="AO65">
        <v>41.65</v>
      </c>
      <c r="AP65">
        <v>47.9</v>
      </c>
      <c r="AQ65">
        <v>47</v>
      </c>
      <c r="AR65">
        <v>166</v>
      </c>
      <c r="AS65" t="s">
        <v>49</v>
      </c>
      <c r="AT65" t="s">
        <v>330</v>
      </c>
      <c r="AU65" t="s">
        <v>321</v>
      </c>
      <c r="AV65" t="s">
        <v>52</v>
      </c>
      <c r="AW65" t="s">
        <v>317</v>
      </c>
      <c r="AX65" t="s">
        <v>323</v>
      </c>
      <c r="AY65">
        <v>1.0999999999999999E-2</v>
      </c>
      <c r="AZ65">
        <v>12.936</v>
      </c>
      <c r="BA65">
        <v>0.25624000000000002</v>
      </c>
      <c r="BB65">
        <v>2.0352100000000002</v>
      </c>
      <c r="BC65">
        <v>0.65999999999999903</v>
      </c>
      <c r="BD65">
        <v>0.26074266255877998</v>
      </c>
      <c r="BE65" t="s">
        <v>319</v>
      </c>
      <c r="BF65" t="s">
        <v>320</v>
      </c>
    </row>
    <row r="66" spans="1:58" customFormat="1" x14ac:dyDescent="0.35">
      <c r="A66">
        <v>20</v>
      </c>
      <c r="B66">
        <v>30</v>
      </c>
      <c r="C66">
        <v>28</v>
      </c>
      <c r="D66">
        <v>34</v>
      </c>
      <c r="E66">
        <v>32</v>
      </c>
      <c r="F66">
        <v>30</v>
      </c>
      <c r="G66">
        <v>33</v>
      </c>
      <c r="H66">
        <v>21</v>
      </c>
      <c r="I66">
        <v>33</v>
      </c>
      <c r="J66">
        <v>37</v>
      </c>
      <c r="K66">
        <v>32</v>
      </c>
      <c r="L66">
        <v>32</v>
      </c>
      <c r="M66">
        <v>32</v>
      </c>
      <c r="N66">
        <v>32</v>
      </c>
      <c r="O66">
        <v>27</v>
      </c>
      <c r="P66">
        <v>35</v>
      </c>
      <c r="Q66">
        <v>36</v>
      </c>
      <c r="R66">
        <v>31</v>
      </c>
      <c r="S66">
        <v>31</v>
      </c>
      <c r="T66">
        <v>33</v>
      </c>
      <c r="U66">
        <v>33</v>
      </c>
      <c r="V66">
        <f>MAX(A66:U66)</f>
        <v>37</v>
      </c>
      <c r="W66" s="4" t="s">
        <v>123</v>
      </c>
      <c r="X66">
        <v>5.3610611419401422E-3</v>
      </c>
      <c r="Y66">
        <v>16.899999999999999</v>
      </c>
      <c r="Z66">
        <v>21</v>
      </c>
      <c r="AA66">
        <v>65.5</v>
      </c>
      <c r="AB66">
        <v>60</v>
      </c>
      <c r="AC66">
        <v>36.6</v>
      </c>
      <c r="AD66">
        <v>10</v>
      </c>
      <c r="AE66">
        <v>1324</v>
      </c>
      <c r="AF66">
        <v>22.8</v>
      </c>
      <c r="AG66">
        <v>22.8</v>
      </c>
      <c r="AH66">
        <v>16.3</v>
      </c>
      <c r="AI66">
        <v>36.200000000000003</v>
      </c>
      <c r="AJ66">
        <v>32.1</v>
      </c>
      <c r="AK66">
        <v>47.7</v>
      </c>
      <c r="AL66">
        <v>28.5</v>
      </c>
      <c r="AM66">
        <v>41.7</v>
      </c>
      <c r="AN66">
        <v>26.9</v>
      </c>
      <c r="AO66">
        <v>41.65</v>
      </c>
      <c r="AP66">
        <v>44.1</v>
      </c>
      <c r="AQ66">
        <v>40.9</v>
      </c>
      <c r="AR66">
        <v>156</v>
      </c>
      <c r="AS66" t="s">
        <v>49</v>
      </c>
      <c r="AT66" t="s">
        <v>315</v>
      </c>
      <c r="AU66" t="s">
        <v>322</v>
      </c>
      <c r="AV66" t="s">
        <v>52</v>
      </c>
      <c r="AW66" t="s">
        <v>326</v>
      </c>
      <c r="AX66" t="s">
        <v>323</v>
      </c>
      <c r="AY66">
        <v>1.6E-2</v>
      </c>
      <c r="AZ66">
        <v>28.163</v>
      </c>
      <c r="BA66">
        <v>0.17287</v>
      </c>
      <c r="BB66">
        <v>3.7390599999999998</v>
      </c>
      <c r="BC66">
        <v>0.96</v>
      </c>
      <c r="BD66">
        <v>0.88535754824063495</v>
      </c>
      <c r="BE66" t="s">
        <v>319</v>
      </c>
      <c r="BF66" t="s">
        <v>320</v>
      </c>
    </row>
    <row r="67" spans="1:58" customFormat="1" x14ac:dyDescent="0.35">
      <c r="A67">
        <v>10</v>
      </c>
      <c r="B67">
        <v>10</v>
      </c>
      <c r="C67">
        <v>10</v>
      </c>
      <c r="D67">
        <v>15</v>
      </c>
      <c r="E67">
        <v>14</v>
      </c>
      <c r="F67">
        <v>18</v>
      </c>
      <c r="G67">
        <v>18</v>
      </c>
      <c r="H67">
        <v>10</v>
      </c>
      <c r="I67">
        <v>10</v>
      </c>
      <c r="J67">
        <v>25</v>
      </c>
      <c r="K67">
        <v>27</v>
      </c>
      <c r="L67">
        <v>26</v>
      </c>
      <c r="M67">
        <v>35</v>
      </c>
      <c r="N67">
        <v>37</v>
      </c>
      <c r="O67">
        <v>16</v>
      </c>
      <c r="P67">
        <v>44</v>
      </c>
      <c r="Q67">
        <v>56</v>
      </c>
      <c r="R67">
        <v>46</v>
      </c>
      <c r="S67">
        <v>47</v>
      </c>
      <c r="T67">
        <v>52</v>
      </c>
      <c r="U67">
        <v>46</v>
      </c>
      <c r="V67">
        <f>MAX(A67:U67)</f>
        <v>56</v>
      </c>
      <c r="W67" s="4" t="s">
        <v>124</v>
      </c>
      <c r="X67">
        <v>7.6928888433033641E-4</v>
      </c>
      <c r="Y67">
        <v>242.18</v>
      </c>
      <c r="Z67">
        <v>21</v>
      </c>
      <c r="AA67">
        <v>76.7</v>
      </c>
      <c r="AB67">
        <v>48</v>
      </c>
      <c r="AC67">
        <v>26</v>
      </c>
      <c r="AD67">
        <v>12.5</v>
      </c>
      <c r="AE67">
        <v>1691</v>
      </c>
      <c r="AF67">
        <v>30.4</v>
      </c>
      <c r="AG67">
        <v>35.799999999999997</v>
      </c>
      <c r="AH67">
        <v>23.1</v>
      </c>
      <c r="AI67">
        <v>47.7</v>
      </c>
      <c r="AJ67">
        <v>18.100000000000001</v>
      </c>
      <c r="AK67">
        <v>23.8</v>
      </c>
      <c r="AL67">
        <v>16.399999999999999</v>
      </c>
      <c r="AM67">
        <v>23.9</v>
      </c>
      <c r="AN67">
        <v>26.2</v>
      </c>
      <c r="AO67">
        <v>39.4</v>
      </c>
      <c r="AP67">
        <v>49.9</v>
      </c>
      <c r="AQ67">
        <v>47.95</v>
      </c>
      <c r="AR67">
        <v>171</v>
      </c>
      <c r="AS67" t="s">
        <v>46</v>
      </c>
      <c r="AT67" t="s">
        <v>315</v>
      </c>
      <c r="AU67" t="s">
        <v>316</v>
      </c>
      <c r="AV67" t="s">
        <v>52</v>
      </c>
      <c r="AW67" t="s">
        <v>317</v>
      </c>
      <c r="AX67" t="s">
        <v>318</v>
      </c>
      <c r="AY67">
        <v>0.127</v>
      </c>
      <c r="AZ67">
        <v>3.8079999999999998</v>
      </c>
      <c r="BA67">
        <v>0.79588000000000003</v>
      </c>
      <c r="BB67">
        <v>7.0308599999999997</v>
      </c>
      <c r="BC67">
        <v>7.62</v>
      </c>
      <c r="BD67">
        <v>10.2292849035187</v>
      </c>
      <c r="BE67" t="s">
        <v>319</v>
      </c>
      <c r="BF67" t="s">
        <v>324</v>
      </c>
    </row>
    <row r="68" spans="1:58" customFormat="1" x14ac:dyDescent="0.35">
      <c r="A68">
        <v>16</v>
      </c>
      <c r="B68">
        <v>14</v>
      </c>
      <c r="C68">
        <v>15</v>
      </c>
      <c r="D68">
        <v>16</v>
      </c>
      <c r="E68">
        <v>14</v>
      </c>
      <c r="F68">
        <v>13</v>
      </c>
      <c r="G68">
        <v>14</v>
      </c>
      <c r="H68">
        <v>10</v>
      </c>
      <c r="I68">
        <v>13</v>
      </c>
      <c r="J68">
        <v>13</v>
      </c>
      <c r="K68">
        <v>13</v>
      </c>
      <c r="L68">
        <v>13</v>
      </c>
      <c r="M68">
        <v>15</v>
      </c>
      <c r="N68">
        <v>15</v>
      </c>
      <c r="O68">
        <v>14</v>
      </c>
      <c r="P68">
        <v>16</v>
      </c>
      <c r="Q68">
        <v>14</v>
      </c>
      <c r="R68">
        <v>12</v>
      </c>
      <c r="S68">
        <v>11</v>
      </c>
      <c r="T68">
        <v>11</v>
      </c>
      <c r="U68">
        <v>11</v>
      </c>
      <c r="V68">
        <f>MAX(A68:U68)</f>
        <v>16</v>
      </c>
      <c r="W68" s="4" t="s">
        <v>125</v>
      </c>
      <c r="X68">
        <v>4.3357643088145117E-2</v>
      </c>
      <c r="Y68">
        <v>2.92</v>
      </c>
      <c r="Z68" t="s">
        <v>126</v>
      </c>
      <c r="AA68">
        <v>140</v>
      </c>
      <c r="AB68">
        <v>47</v>
      </c>
      <c r="AC68">
        <v>32.35</v>
      </c>
      <c r="AD68">
        <v>21.63</v>
      </c>
      <c r="AE68">
        <v>2051.56</v>
      </c>
      <c r="AF68">
        <v>28.58</v>
      </c>
      <c r="AG68">
        <v>33.25</v>
      </c>
      <c r="AH68">
        <v>19.93</v>
      </c>
      <c r="AI68">
        <v>45.99</v>
      </c>
      <c r="AJ68">
        <v>23.2</v>
      </c>
      <c r="AK68">
        <v>29.24</v>
      </c>
      <c r="AL68">
        <v>21.68</v>
      </c>
      <c r="AM68">
        <v>30.01</v>
      </c>
      <c r="AN68">
        <v>32.82</v>
      </c>
      <c r="AO68">
        <v>51.75</v>
      </c>
      <c r="AP68">
        <v>50.15</v>
      </c>
      <c r="AQ68">
        <v>45.75</v>
      </c>
      <c r="AR68">
        <v>175</v>
      </c>
      <c r="AS68" t="s">
        <v>46</v>
      </c>
      <c r="AT68">
        <v>0</v>
      </c>
      <c r="AU68" t="s">
        <v>321</v>
      </c>
      <c r="AV68" t="s">
        <v>52</v>
      </c>
      <c r="AW68" t="s">
        <v>317</v>
      </c>
      <c r="AX68" t="s">
        <v>318</v>
      </c>
      <c r="AY68">
        <v>-7.0000000000000001E-3</v>
      </c>
      <c r="AZ68">
        <v>14.843</v>
      </c>
      <c r="BA68">
        <v>0.22508</v>
      </c>
      <c r="BB68">
        <v>1.50325</v>
      </c>
      <c r="BC68">
        <v>-0.42</v>
      </c>
      <c r="BD68">
        <v>-0.192638235771039</v>
      </c>
      <c r="BE68" t="s">
        <v>329</v>
      </c>
      <c r="BF68" t="s">
        <v>320</v>
      </c>
    </row>
    <row r="69" spans="1:58" customFormat="1" x14ac:dyDescent="0.35">
      <c r="A69">
        <v>10</v>
      </c>
      <c r="B69">
        <v>10</v>
      </c>
      <c r="C69">
        <v>10</v>
      </c>
      <c r="D69">
        <v>10</v>
      </c>
      <c r="E69">
        <v>10</v>
      </c>
      <c r="F69">
        <v>10</v>
      </c>
      <c r="G69">
        <v>10</v>
      </c>
      <c r="H69">
        <v>10</v>
      </c>
      <c r="I69">
        <v>10</v>
      </c>
      <c r="J69">
        <v>10</v>
      </c>
      <c r="K69">
        <v>10</v>
      </c>
      <c r="L69">
        <v>10</v>
      </c>
      <c r="M69">
        <v>10</v>
      </c>
      <c r="N69">
        <v>10</v>
      </c>
      <c r="O69">
        <v>10</v>
      </c>
      <c r="P69">
        <v>10</v>
      </c>
      <c r="Q69">
        <v>10</v>
      </c>
      <c r="R69">
        <v>10</v>
      </c>
      <c r="S69">
        <v>10</v>
      </c>
      <c r="T69">
        <v>10</v>
      </c>
      <c r="U69">
        <v>10</v>
      </c>
      <c r="V69">
        <f>MAX(A69:U69)</f>
        <v>10</v>
      </c>
      <c r="W69" s="4" t="s">
        <v>127</v>
      </c>
      <c r="Y69">
        <v>0</v>
      </c>
      <c r="Z69">
        <v>14</v>
      </c>
      <c r="AA69">
        <v>69.599999999999994</v>
      </c>
      <c r="AB69">
        <v>64</v>
      </c>
      <c r="AC69">
        <v>27</v>
      </c>
      <c r="AD69">
        <v>17.5</v>
      </c>
      <c r="AE69">
        <v>1557</v>
      </c>
      <c r="AF69">
        <v>27.5</v>
      </c>
      <c r="AG69">
        <v>33.9</v>
      </c>
      <c r="AH69">
        <v>20.6</v>
      </c>
      <c r="AI69">
        <v>44.9</v>
      </c>
      <c r="AJ69">
        <v>19.100000000000001</v>
      </c>
      <c r="AK69">
        <v>23.4</v>
      </c>
      <c r="AL69">
        <v>17.5</v>
      </c>
      <c r="AM69">
        <v>23.8</v>
      </c>
      <c r="AN69">
        <v>27.9</v>
      </c>
      <c r="AO69">
        <v>40.299999999999997</v>
      </c>
      <c r="AP69">
        <v>44.75</v>
      </c>
      <c r="AQ69">
        <v>41.85</v>
      </c>
      <c r="AR69">
        <v>158</v>
      </c>
      <c r="AS69" t="s">
        <v>46</v>
      </c>
      <c r="AT69" t="s">
        <v>315</v>
      </c>
      <c r="AU69" t="s">
        <v>322</v>
      </c>
      <c r="AV69" t="s">
        <v>52</v>
      </c>
      <c r="AW69" t="s">
        <v>326</v>
      </c>
      <c r="AX69" t="s">
        <v>323</v>
      </c>
      <c r="AY69">
        <v>0</v>
      </c>
      <c r="AZ69">
        <v>10</v>
      </c>
      <c r="BA69">
        <v>0</v>
      </c>
      <c r="BB69">
        <v>0</v>
      </c>
      <c r="BC69">
        <v>0</v>
      </c>
      <c r="BD69">
        <v>0</v>
      </c>
      <c r="BE69" t="s">
        <v>328</v>
      </c>
      <c r="BF69" t="s">
        <v>320</v>
      </c>
    </row>
    <row r="70" spans="1:58" customFormat="1" x14ac:dyDescent="0.35">
      <c r="A70">
        <v>10</v>
      </c>
      <c r="B70">
        <v>10</v>
      </c>
      <c r="C70">
        <v>10</v>
      </c>
      <c r="D70">
        <v>10</v>
      </c>
      <c r="E70">
        <v>11</v>
      </c>
      <c r="F70">
        <v>10</v>
      </c>
      <c r="G70">
        <v>10</v>
      </c>
      <c r="H70">
        <v>10</v>
      </c>
      <c r="I70">
        <v>11</v>
      </c>
      <c r="J70">
        <v>11</v>
      </c>
      <c r="K70">
        <v>11</v>
      </c>
      <c r="L70">
        <v>11</v>
      </c>
      <c r="M70">
        <v>11</v>
      </c>
      <c r="N70">
        <v>10</v>
      </c>
      <c r="O70">
        <v>10</v>
      </c>
      <c r="P70">
        <v>10</v>
      </c>
      <c r="Q70">
        <v>11</v>
      </c>
      <c r="R70">
        <v>11</v>
      </c>
      <c r="S70">
        <v>11</v>
      </c>
      <c r="T70">
        <v>11</v>
      </c>
      <c r="U70">
        <v>10</v>
      </c>
      <c r="V70">
        <f>MAX(A70:U70)</f>
        <v>11</v>
      </c>
      <c r="W70" s="4" t="s">
        <v>128</v>
      </c>
      <c r="X70">
        <v>6.8621010883845257E-2</v>
      </c>
      <c r="Y70">
        <v>0.25</v>
      </c>
      <c r="Z70">
        <v>24</v>
      </c>
      <c r="AA70">
        <v>58.8</v>
      </c>
      <c r="AB70">
        <v>49</v>
      </c>
      <c r="AC70">
        <v>29.9</v>
      </c>
      <c r="AD70">
        <v>5</v>
      </c>
      <c r="AE70">
        <v>1255</v>
      </c>
      <c r="AF70">
        <v>25.9</v>
      </c>
      <c r="AG70">
        <v>27.9</v>
      </c>
      <c r="AH70">
        <v>19.899999999999999</v>
      </c>
      <c r="AI70">
        <v>39.200000000000003</v>
      </c>
      <c r="AJ70">
        <v>25.9</v>
      </c>
      <c r="AK70">
        <v>40.200000000000003</v>
      </c>
      <c r="AL70">
        <v>22</v>
      </c>
      <c r="AM70">
        <v>34.6</v>
      </c>
      <c r="AN70">
        <v>23</v>
      </c>
      <c r="AO70">
        <v>41.1</v>
      </c>
      <c r="AP70">
        <v>44.65</v>
      </c>
      <c r="AQ70">
        <v>44.3</v>
      </c>
      <c r="AR70">
        <v>160</v>
      </c>
      <c r="AS70" t="s">
        <v>49</v>
      </c>
      <c r="AT70" t="s">
        <v>315</v>
      </c>
      <c r="AU70" t="s">
        <v>322</v>
      </c>
      <c r="AV70" t="s">
        <v>47</v>
      </c>
      <c r="AW70" t="s">
        <v>317</v>
      </c>
      <c r="AX70" t="s">
        <v>323</v>
      </c>
      <c r="AY70">
        <v>2E-3</v>
      </c>
      <c r="AZ70">
        <v>10.157</v>
      </c>
      <c r="BA70">
        <v>0.14315</v>
      </c>
      <c r="BB70">
        <v>0.46229999999999999</v>
      </c>
      <c r="BC70">
        <v>0.12</v>
      </c>
      <c r="BD70">
        <v>-1.75125668882763E-2</v>
      </c>
      <c r="BE70" t="s">
        <v>319</v>
      </c>
      <c r="BF70" t="s">
        <v>320</v>
      </c>
    </row>
    <row r="71" spans="1:58" customFormat="1" x14ac:dyDescent="0.35">
      <c r="A71">
        <v>12</v>
      </c>
      <c r="B71">
        <v>21</v>
      </c>
      <c r="C71">
        <v>28</v>
      </c>
      <c r="D71">
        <v>34</v>
      </c>
      <c r="E71">
        <v>34</v>
      </c>
      <c r="F71">
        <v>30</v>
      </c>
      <c r="G71">
        <v>29</v>
      </c>
      <c r="H71">
        <v>14</v>
      </c>
      <c r="I71">
        <v>19</v>
      </c>
      <c r="J71">
        <v>19</v>
      </c>
      <c r="K71">
        <v>25</v>
      </c>
      <c r="L71">
        <v>24</v>
      </c>
      <c r="M71">
        <v>23</v>
      </c>
      <c r="N71">
        <v>24</v>
      </c>
      <c r="O71">
        <v>13</v>
      </c>
      <c r="P71">
        <v>19</v>
      </c>
      <c r="Q71">
        <v>21</v>
      </c>
      <c r="R71">
        <v>24</v>
      </c>
      <c r="S71">
        <v>24</v>
      </c>
      <c r="T71">
        <v>26</v>
      </c>
      <c r="U71">
        <v>26</v>
      </c>
      <c r="V71">
        <f>MAX(A71:U71)</f>
        <v>34</v>
      </c>
      <c r="W71" s="4" t="s">
        <v>129</v>
      </c>
      <c r="X71">
        <v>0.75013989016567761</v>
      </c>
      <c r="Y71">
        <v>34.97</v>
      </c>
      <c r="Z71">
        <v>26</v>
      </c>
      <c r="AA71">
        <v>79.8</v>
      </c>
      <c r="AB71">
        <v>58</v>
      </c>
      <c r="AC71">
        <v>32.1</v>
      </c>
      <c r="AD71">
        <v>18.5</v>
      </c>
      <c r="AE71">
        <v>1697</v>
      </c>
      <c r="AF71">
        <v>26.7</v>
      </c>
      <c r="AG71">
        <v>33.1</v>
      </c>
      <c r="AH71">
        <v>18.600000000000001</v>
      </c>
      <c r="AI71">
        <v>44.2</v>
      </c>
      <c r="AJ71">
        <v>22.4</v>
      </c>
      <c r="AK71">
        <v>29.6</v>
      </c>
      <c r="AL71">
        <v>20.6</v>
      </c>
      <c r="AM71">
        <v>30.3</v>
      </c>
      <c r="AN71">
        <v>29</v>
      </c>
      <c r="AO71">
        <v>40.450000000000003</v>
      </c>
      <c r="AP71">
        <v>48.5</v>
      </c>
      <c r="AQ71">
        <v>41.35</v>
      </c>
      <c r="AR71">
        <v>166</v>
      </c>
      <c r="AS71" t="s">
        <v>46</v>
      </c>
      <c r="AT71" t="s">
        <v>315</v>
      </c>
      <c r="AU71" t="s">
        <v>322</v>
      </c>
      <c r="AV71" t="s">
        <v>52</v>
      </c>
      <c r="AW71" t="s">
        <v>326</v>
      </c>
      <c r="AX71" t="s">
        <v>323</v>
      </c>
      <c r="AY71">
        <v>-4.0000000000000001E-3</v>
      </c>
      <c r="AZ71">
        <v>23.942</v>
      </c>
      <c r="BA71">
        <v>4.3200000000000001E-3</v>
      </c>
      <c r="BB71">
        <v>5.9004099999999999</v>
      </c>
      <c r="BC71">
        <v>-0.24</v>
      </c>
      <c r="BD71">
        <v>1.78433598183881</v>
      </c>
      <c r="BE71" t="s">
        <v>329</v>
      </c>
      <c r="BF71" t="s">
        <v>320</v>
      </c>
    </row>
    <row r="72" spans="1:58" customFormat="1" x14ac:dyDescent="0.35">
      <c r="A72">
        <v>24</v>
      </c>
      <c r="B72">
        <v>25</v>
      </c>
      <c r="C72">
        <v>29</v>
      </c>
      <c r="D72">
        <v>27</v>
      </c>
      <c r="E72">
        <v>26</v>
      </c>
      <c r="F72">
        <v>27</v>
      </c>
      <c r="G72">
        <v>29</v>
      </c>
      <c r="H72">
        <v>29</v>
      </c>
      <c r="I72">
        <v>29</v>
      </c>
      <c r="J72">
        <v>27</v>
      </c>
      <c r="K72">
        <v>31</v>
      </c>
      <c r="L72">
        <v>29</v>
      </c>
      <c r="M72">
        <v>30</v>
      </c>
      <c r="N72">
        <v>31</v>
      </c>
      <c r="O72">
        <v>31</v>
      </c>
      <c r="P72">
        <v>32</v>
      </c>
      <c r="Q72">
        <v>32</v>
      </c>
      <c r="R72">
        <v>32</v>
      </c>
      <c r="S72">
        <v>29</v>
      </c>
      <c r="T72">
        <v>34</v>
      </c>
      <c r="U72">
        <v>32</v>
      </c>
      <c r="V72">
        <f>MAX(A72:U72)</f>
        <v>34</v>
      </c>
      <c r="W72" s="4" t="s">
        <v>130</v>
      </c>
      <c r="X72" s="13">
        <v>8.6702882897152958E-2</v>
      </c>
      <c r="Y72">
        <v>6.39</v>
      </c>
      <c r="Z72">
        <v>23</v>
      </c>
      <c r="AA72">
        <v>48.4</v>
      </c>
      <c r="AB72">
        <v>41</v>
      </c>
      <c r="AC72">
        <v>33.5</v>
      </c>
      <c r="AD72">
        <v>3</v>
      </c>
      <c r="AE72">
        <v>1079</v>
      </c>
      <c r="AF72">
        <v>23.9</v>
      </c>
      <c r="AG72">
        <v>27.8</v>
      </c>
      <c r="AH72">
        <v>19.3</v>
      </c>
      <c r="AI72">
        <v>33.1</v>
      </c>
      <c r="AJ72">
        <v>25.1</v>
      </c>
      <c r="AK72">
        <v>45.6</v>
      </c>
      <c r="AL72">
        <v>22.7</v>
      </c>
      <c r="AM72">
        <v>37.200000000000003</v>
      </c>
      <c r="AN72">
        <v>19.399999999999999</v>
      </c>
      <c r="AO72">
        <v>37.5</v>
      </c>
      <c r="AP72">
        <v>43.95</v>
      </c>
      <c r="AQ72">
        <v>42</v>
      </c>
      <c r="AR72">
        <v>158</v>
      </c>
      <c r="AS72" t="s">
        <v>49</v>
      </c>
      <c r="AT72" t="s">
        <v>315</v>
      </c>
      <c r="AU72" t="s">
        <v>316</v>
      </c>
      <c r="AV72" t="s">
        <v>47</v>
      </c>
      <c r="AW72" t="s">
        <v>317</v>
      </c>
      <c r="AX72" t="s">
        <v>323</v>
      </c>
      <c r="AY72">
        <v>0.02</v>
      </c>
      <c r="AZ72">
        <v>25.638000000000002</v>
      </c>
      <c r="BA72">
        <v>0.73038999999999998</v>
      </c>
      <c r="BB72">
        <v>1.3130299999999999</v>
      </c>
      <c r="BC72">
        <v>1.2</v>
      </c>
      <c r="BD72">
        <v>0.99627047186638495</v>
      </c>
      <c r="BE72" t="s">
        <v>319</v>
      </c>
      <c r="BF72" t="s">
        <v>320</v>
      </c>
    </row>
    <row r="73" spans="1:58" customFormat="1" x14ac:dyDescent="0.35">
      <c r="A73">
        <v>14</v>
      </c>
      <c r="B73">
        <v>16</v>
      </c>
      <c r="C73">
        <v>14</v>
      </c>
      <c r="D73">
        <v>14</v>
      </c>
      <c r="E73">
        <v>15</v>
      </c>
      <c r="F73">
        <v>17</v>
      </c>
      <c r="G73">
        <v>17</v>
      </c>
      <c r="H73">
        <v>17</v>
      </c>
      <c r="I73">
        <v>17</v>
      </c>
      <c r="J73">
        <v>17</v>
      </c>
      <c r="K73">
        <v>23</v>
      </c>
      <c r="L73">
        <v>25</v>
      </c>
      <c r="M73">
        <v>25</v>
      </c>
      <c r="N73">
        <v>25</v>
      </c>
      <c r="O73">
        <v>25</v>
      </c>
      <c r="P73">
        <v>25</v>
      </c>
      <c r="Q73">
        <v>25</v>
      </c>
      <c r="R73">
        <v>25</v>
      </c>
      <c r="S73">
        <v>25</v>
      </c>
      <c r="T73">
        <v>25</v>
      </c>
      <c r="U73">
        <v>25</v>
      </c>
      <c r="V73">
        <f>MAX(A73:U73)</f>
        <v>25</v>
      </c>
      <c r="W73" s="4" t="s">
        <v>131</v>
      </c>
      <c r="X73">
        <v>8.0764005760582564E-7</v>
      </c>
      <c r="Y73">
        <v>21.3</v>
      </c>
      <c r="Z73" t="s">
        <v>132</v>
      </c>
      <c r="AA73">
        <v>66.900000000000006</v>
      </c>
      <c r="AB73">
        <v>55</v>
      </c>
      <c r="AC73">
        <v>22</v>
      </c>
      <c r="AD73">
        <v>9.5</v>
      </c>
      <c r="AE73">
        <v>1549</v>
      </c>
      <c r="AF73">
        <v>31.1</v>
      </c>
      <c r="AG73">
        <v>37</v>
      </c>
      <c r="AH73">
        <v>24.8</v>
      </c>
      <c r="AI73">
        <v>48.5</v>
      </c>
      <c r="AJ73">
        <v>15.2</v>
      </c>
      <c r="AK73">
        <v>19.8</v>
      </c>
      <c r="AL73">
        <v>13.5</v>
      </c>
      <c r="AM73">
        <v>19.600000000000001</v>
      </c>
      <c r="AN73">
        <v>23.4</v>
      </c>
      <c r="AO73">
        <v>38.299999999999997</v>
      </c>
      <c r="AP73">
        <v>46.2</v>
      </c>
      <c r="AQ73">
        <v>47.1</v>
      </c>
      <c r="AR73">
        <v>169</v>
      </c>
      <c r="AS73" t="s">
        <v>46</v>
      </c>
      <c r="AT73" t="s">
        <v>330</v>
      </c>
      <c r="AU73" t="s">
        <v>322</v>
      </c>
      <c r="AV73" t="s">
        <v>47</v>
      </c>
      <c r="AW73" t="s">
        <v>326</v>
      </c>
      <c r="AX73" t="s">
        <v>318</v>
      </c>
      <c r="AY73">
        <v>3.7999999999999999E-2</v>
      </c>
      <c r="AZ73">
        <v>13.413</v>
      </c>
      <c r="BA73">
        <v>0.83367999999999998</v>
      </c>
      <c r="BB73">
        <v>1.8820300000000001</v>
      </c>
      <c r="BC73">
        <v>2.2799999999999998</v>
      </c>
      <c r="BD73">
        <v>2.0119993513864101</v>
      </c>
      <c r="BE73" t="s">
        <v>319</v>
      </c>
      <c r="BF73" t="s">
        <v>320</v>
      </c>
    </row>
    <row r="74" spans="1:58" customFormat="1" x14ac:dyDescent="0.35">
      <c r="A74">
        <v>12</v>
      </c>
      <c r="B74">
        <v>12</v>
      </c>
      <c r="C74">
        <v>12</v>
      </c>
      <c r="D74">
        <v>14</v>
      </c>
      <c r="E74">
        <v>14</v>
      </c>
      <c r="F74">
        <v>14</v>
      </c>
      <c r="G74">
        <v>14</v>
      </c>
      <c r="H74">
        <v>12</v>
      </c>
      <c r="I74">
        <v>12</v>
      </c>
      <c r="J74">
        <v>14</v>
      </c>
      <c r="K74">
        <v>15</v>
      </c>
      <c r="L74">
        <v>17</v>
      </c>
      <c r="M74">
        <v>17</v>
      </c>
      <c r="N74">
        <v>17</v>
      </c>
      <c r="O74">
        <v>14</v>
      </c>
      <c r="P74">
        <v>17</v>
      </c>
      <c r="Q74">
        <v>20</v>
      </c>
      <c r="R74">
        <v>23</v>
      </c>
      <c r="S74">
        <v>31</v>
      </c>
      <c r="T74">
        <v>29</v>
      </c>
      <c r="U74">
        <v>27</v>
      </c>
      <c r="V74">
        <f>MAX(A74:U74)</f>
        <v>31</v>
      </c>
      <c r="W74" s="4" t="s">
        <v>133</v>
      </c>
      <c r="X74" s="13">
        <v>0.25452180396991769</v>
      </c>
      <c r="Y74">
        <v>31.81</v>
      </c>
      <c r="Z74">
        <v>20</v>
      </c>
      <c r="AA74">
        <v>57.5</v>
      </c>
      <c r="AB74">
        <v>63</v>
      </c>
      <c r="AC74">
        <v>36.700000000000003</v>
      </c>
      <c r="AD74">
        <v>7.5</v>
      </c>
      <c r="AE74">
        <v>1200</v>
      </c>
      <c r="AF74">
        <v>22</v>
      </c>
      <c r="AG74">
        <v>23.5</v>
      </c>
      <c r="AH74">
        <v>16.2</v>
      </c>
      <c r="AI74">
        <v>34.1</v>
      </c>
      <c r="AJ74">
        <v>30</v>
      </c>
      <c r="AK74">
        <v>48.1</v>
      </c>
      <c r="AL74">
        <v>27.1</v>
      </c>
      <c r="AM74">
        <v>40.200000000000003</v>
      </c>
      <c r="AN74">
        <v>23.9</v>
      </c>
      <c r="AO74">
        <v>36.75</v>
      </c>
      <c r="AP74">
        <v>44.1</v>
      </c>
      <c r="AQ74">
        <v>41.15</v>
      </c>
      <c r="AR74">
        <v>155</v>
      </c>
      <c r="AS74" t="s">
        <v>49</v>
      </c>
      <c r="AT74" t="s">
        <v>330</v>
      </c>
      <c r="AU74" t="s">
        <v>321</v>
      </c>
      <c r="AV74" t="s">
        <v>47</v>
      </c>
      <c r="AW74" t="s">
        <v>326</v>
      </c>
      <c r="AX74" t="s">
        <v>323</v>
      </c>
      <c r="AY74">
        <v>4.2999999999999997E-2</v>
      </c>
      <c r="AZ74">
        <v>9.0050000000000008</v>
      </c>
      <c r="BA74">
        <v>0.70545999999999998</v>
      </c>
      <c r="BB74">
        <v>3.0609199999999999</v>
      </c>
      <c r="BC74">
        <v>2.5799999999999899</v>
      </c>
      <c r="BD74" s="7">
        <v>4.3606291551807903</v>
      </c>
      <c r="BE74" t="s">
        <v>319</v>
      </c>
      <c r="BF74" t="s">
        <v>320</v>
      </c>
    </row>
    <row r="75" spans="1:58" customFormat="1" x14ac:dyDescent="0.35">
      <c r="A75">
        <v>10</v>
      </c>
      <c r="B75">
        <v>12</v>
      </c>
      <c r="C75">
        <v>17</v>
      </c>
      <c r="D75">
        <v>24</v>
      </c>
      <c r="E75">
        <v>25</v>
      </c>
      <c r="F75">
        <v>30</v>
      </c>
      <c r="G75">
        <v>30</v>
      </c>
      <c r="H75">
        <v>30</v>
      </c>
      <c r="I75">
        <v>30</v>
      </c>
      <c r="J75">
        <v>37</v>
      </c>
      <c r="K75">
        <v>37</v>
      </c>
      <c r="L75">
        <v>39</v>
      </c>
      <c r="M75">
        <v>45</v>
      </c>
      <c r="N75">
        <v>47</v>
      </c>
      <c r="O75">
        <v>30</v>
      </c>
      <c r="P75">
        <v>30</v>
      </c>
      <c r="Q75">
        <v>37</v>
      </c>
      <c r="R75">
        <v>47</v>
      </c>
      <c r="S75">
        <v>50</v>
      </c>
      <c r="T75">
        <v>50</v>
      </c>
      <c r="U75">
        <v>50</v>
      </c>
      <c r="V75">
        <f>MAX(A75:U75)</f>
        <v>50</v>
      </c>
      <c r="W75" s="4" t="s">
        <v>134</v>
      </c>
      <c r="X75" s="13">
        <v>0.13753300683056571</v>
      </c>
      <c r="Y75">
        <v>138.22</v>
      </c>
      <c r="Z75">
        <v>15</v>
      </c>
      <c r="AA75">
        <v>64.599999999999994</v>
      </c>
      <c r="AB75">
        <v>57</v>
      </c>
      <c r="AC75">
        <v>33.5</v>
      </c>
      <c r="AD75">
        <v>5.5</v>
      </c>
      <c r="AE75">
        <v>1328</v>
      </c>
      <c r="AF75">
        <v>24.6</v>
      </c>
      <c r="AG75">
        <v>25.1</v>
      </c>
      <c r="AH75">
        <v>18.3</v>
      </c>
      <c r="AI75">
        <v>37.4</v>
      </c>
      <c r="AJ75">
        <v>27.9</v>
      </c>
      <c r="AK75">
        <v>44.6</v>
      </c>
      <c r="AL75">
        <v>24.6</v>
      </c>
      <c r="AM75">
        <v>37.799999999999997</v>
      </c>
      <c r="AN75">
        <v>23.2</v>
      </c>
      <c r="AO75">
        <v>40</v>
      </c>
      <c r="AP75">
        <v>47.8</v>
      </c>
      <c r="AQ75">
        <v>46.35</v>
      </c>
      <c r="AR75">
        <v>167</v>
      </c>
      <c r="AS75" t="s">
        <v>49</v>
      </c>
      <c r="AT75">
        <v>0</v>
      </c>
      <c r="AU75" t="s">
        <v>322</v>
      </c>
      <c r="AV75" t="s">
        <v>47</v>
      </c>
      <c r="AW75" t="s">
        <v>326</v>
      </c>
      <c r="AX75" t="s">
        <v>318</v>
      </c>
      <c r="AY75">
        <v>9.6000000000000002E-2</v>
      </c>
      <c r="AZ75">
        <v>15.888999999999999</v>
      </c>
      <c r="BA75">
        <v>0.80283000000000004</v>
      </c>
      <c r="BB75">
        <v>5.2204800000000002</v>
      </c>
      <c r="BC75">
        <v>5.76</v>
      </c>
      <c r="BD75">
        <v>4.4618128749797297</v>
      </c>
      <c r="BE75" t="s">
        <v>319</v>
      </c>
      <c r="BF75" t="s">
        <v>324</v>
      </c>
    </row>
    <row r="76" spans="1:58" customFormat="1" x14ac:dyDescent="0.35">
      <c r="A76">
        <v>10</v>
      </c>
      <c r="B76">
        <v>10</v>
      </c>
      <c r="C76">
        <v>10</v>
      </c>
      <c r="D76">
        <v>11</v>
      </c>
      <c r="E76">
        <v>11</v>
      </c>
      <c r="F76">
        <v>13</v>
      </c>
      <c r="G76">
        <v>23</v>
      </c>
      <c r="H76">
        <v>20</v>
      </c>
      <c r="I76">
        <v>20</v>
      </c>
      <c r="J76">
        <v>18</v>
      </c>
      <c r="K76">
        <v>18</v>
      </c>
      <c r="L76">
        <v>18</v>
      </c>
      <c r="M76">
        <v>15</v>
      </c>
      <c r="N76">
        <v>15</v>
      </c>
      <c r="O76">
        <v>15</v>
      </c>
      <c r="P76">
        <v>15</v>
      </c>
      <c r="Q76">
        <v>15</v>
      </c>
      <c r="R76">
        <v>15</v>
      </c>
      <c r="S76">
        <v>15</v>
      </c>
      <c r="T76">
        <v>17</v>
      </c>
      <c r="U76">
        <v>21</v>
      </c>
      <c r="V76">
        <f>MAX(A76:U76)</f>
        <v>23</v>
      </c>
      <c r="W76" s="4" t="s">
        <v>135</v>
      </c>
      <c r="X76">
        <v>1.44958583133369E-2</v>
      </c>
      <c r="Y76">
        <v>13.68</v>
      </c>
      <c r="Z76">
        <v>31.5</v>
      </c>
      <c r="AA76">
        <v>68.900000000000006</v>
      </c>
      <c r="AB76">
        <v>58</v>
      </c>
      <c r="AC76">
        <v>23.7</v>
      </c>
      <c r="AD76">
        <v>9.5</v>
      </c>
      <c r="AE76">
        <v>1574</v>
      </c>
      <c r="AF76">
        <v>30.6</v>
      </c>
      <c r="AG76">
        <v>36.1</v>
      </c>
      <c r="AH76">
        <v>23.9</v>
      </c>
      <c r="AI76">
        <v>48</v>
      </c>
      <c r="AJ76">
        <v>16.3</v>
      </c>
      <c r="AK76">
        <v>21.2</v>
      </c>
      <c r="AL76">
        <v>14.4</v>
      </c>
      <c r="AM76">
        <v>21.3</v>
      </c>
      <c r="AN76">
        <v>23</v>
      </c>
      <c r="AO76">
        <v>37.35</v>
      </c>
      <c r="AP76">
        <v>45.25</v>
      </c>
      <c r="AQ76">
        <v>47.8</v>
      </c>
      <c r="AR76">
        <v>173</v>
      </c>
      <c r="AS76" t="s">
        <v>46</v>
      </c>
      <c r="AT76" t="s">
        <v>315</v>
      </c>
      <c r="AU76" t="s">
        <v>322</v>
      </c>
      <c r="AV76" t="s">
        <v>47</v>
      </c>
      <c r="AW76" t="s">
        <v>326</v>
      </c>
      <c r="AX76" t="s">
        <v>318</v>
      </c>
      <c r="AY76">
        <v>1.6E-2</v>
      </c>
      <c r="AZ76">
        <v>12.555</v>
      </c>
      <c r="BA76">
        <v>0.21908</v>
      </c>
      <c r="BB76">
        <v>3.26824</v>
      </c>
      <c r="BC76">
        <v>0.96</v>
      </c>
      <c r="BD76">
        <v>-0.58180638884384595</v>
      </c>
      <c r="BE76" t="s">
        <v>319</v>
      </c>
      <c r="BF76" t="s">
        <v>320</v>
      </c>
    </row>
    <row r="77" spans="1:58" customFormat="1" x14ac:dyDescent="0.35">
      <c r="A77">
        <v>10</v>
      </c>
      <c r="B77">
        <v>10</v>
      </c>
      <c r="C77">
        <v>10</v>
      </c>
      <c r="D77">
        <v>10</v>
      </c>
      <c r="E77">
        <v>11</v>
      </c>
      <c r="F77">
        <v>11</v>
      </c>
      <c r="G77">
        <v>11</v>
      </c>
      <c r="H77">
        <v>10</v>
      </c>
      <c r="I77">
        <v>10</v>
      </c>
      <c r="J77">
        <v>13</v>
      </c>
      <c r="K77">
        <v>15</v>
      </c>
      <c r="L77">
        <v>16</v>
      </c>
      <c r="M77">
        <v>18</v>
      </c>
      <c r="N77">
        <v>18</v>
      </c>
      <c r="O77">
        <v>10</v>
      </c>
      <c r="P77">
        <v>13</v>
      </c>
      <c r="Q77">
        <v>16</v>
      </c>
      <c r="R77">
        <v>14</v>
      </c>
      <c r="S77">
        <v>16</v>
      </c>
      <c r="T77">
        <v>16</v>
      </c>
      <c r="U77">
        <v>16</v>
      </c>
      <c r="V77">
        <f>MAX(A77:U77)</f>
        <v>18</v>
      </c>
      <c r="W77" s="4" t="s">
        <v>136</v>
      </c>
      <c r="X77">
        <v>7.6593799736447818E-5</v>
      </c>
      <c r="Y77">
        <v>8.33</v>
      </c>
      <c r="Z77">
        <v>27</v>
      </c>
      <c r="AA77">
        <v>67.3</v>
      </c>
      <c r="AB77">
        <v>70</v>
      </c>
      <c r="AC77">
        <v>25.4</v>
      </c>
      <c r="AD77">
        <v>9.5</v>
      </c>
      <c r="AE77">
        <v>1534</v>
      </c>
      <c r="AF77">
        <v>29</v>
      </c>
      <c r="AG77">
        <v>35.4</v>
      </c>
      <c r="AH77">
        <v>22.2</v>
      </c>
      <c r="AI77">
        <v>46.4</v>
      </c>
      <c r="AJ77">
        <v>17.2</v>
      </c>
      <c r="AK77">
        <v>21.8</v>
      </c>
      <c r="AL77">
        <v>15.2</v>
      </c>
      <c r="AM77">
        <v>22.1</v>
      </c>
      <c r="AN77">
        <v>22.7</v>
      </c>
      <c r="AO77">
        <v>38.25</v>
      </c>
      <c r="AP77">
        <v>48.2</v>
      </c>
      <c r="AQ77">
        <v>48.4</v>
      </c>
      <c r="AR77">
        <v>172</v>
      </c>
      <c r="AS77" t="s">
        <v>46</v>
      </c>
      <c r="AT77" t="s">
        <v>315</v>
      </c>
      <c r="AU77" t="s">
        <v>322</v>
      </c>
      <c r="AV77" t="s">
        <v>47</v>
      </c>
      <c r="AW77" t="s">
        <v>326</v>
      </c>
      <c r="AX77" t="s">
        <v>318</v>
      </c>
      <c r="AY77">
        <v>0.02</v>
      </c>
      <c r="AZ77">
        <v>9.4109999999999996</v>
      </c>
      <c r="BA77">
        <v>0.55723999999999996</v>
      </c>
      <c r="BB77">
        <v>1.92059</v>
      </c>
      <c r="BC77">
        <v>1.2</v>
      </c>
      <c r="BD77">
        <v>1.09161666936922</v>
      </c>
      <c r="BE77" t="s">
        <v>319</v>
      </c>
      <c r="BF77" t="s">
        <v>320</v>
      </c>
    </row>
    <row r="78" spans="1:58" customFormat="1" x14ac:dyDescent="0.35">
      <c r="A78">
        <v>10</v>
      </c>
      <c r="B78">
        <v>10</v>
      </c>
      <c r="C78">
        <v>10</v>
      </c>
      <c r="D78">
        <v>10</v>
      </c>
      <c r="E78">
        <v>12</v>
      </c>
      <c r="F78">
        <v>10</v>
      </c>
      <c r="G78">
        <v>10</v>
      </c>
      <c r="H78">
        <v>10</v>
      </c>
      <c r="I78">
        <v>10</v>
      </c>
      <c r="J78">
        <v>10</v>
      </c>
      <c r="K78">
        <v>13</v>
      </c>
      <c r="L78">
        <v>13</v>
      </c>
      <c r="M78">
        <v>15</v>
      </c>
      <c r="N78">
        <v>19</v>
      </c>
      <c r="O78">
        <v>15</v>
      </c>
      <c r="P78">
        <v>18</v>
      </c>
      <c r="Q78">
        <v>18</v>
      </c>
      <c r="R78">
        <v>22</v>
      </c>
      <c r="S78">
        <v>21</v>
      </c>
      <c r="T78">
        <v>21</v>
      </c>
      <c r="U78">
        <v>21</v>
      </c>
      <c r="V78">
        <f>MAX(A78:U78)</f>
        <v>22</v>
      </c>
      <c r="W78" s="4" t="s">
        <v>137</v>
      </c>
      <c r="X78">
        <v>1.062932152084867E-2</v>
      </c>
      <c r="Y78">
        <v>19.96</v>
      </c>
      <c r="Z78">
        <v>20</v>
      </c>
      <c r="AA78">
        <v>44.5</v>
      </c>
      <c r="AB78">
        <v>63</v>
      </c>
      <c r="AC78">
        <v>30.3</v>
      </c>
      <c r="AD78">
        <v>2.5</v>
      </c>
      <c r="AE78">
        <v>1025</v>
      </c>
      <c r="AF78">
        <v>23.8</v>
      </c>
      <c r="AG78">
        <v>28.5</v>
      </c>
      <c r="AH78">
        <v>18.7</v>
      </c>
      <c r="AI78">
        <v>34.4</v>
      </c>
      <c r="AJ78">
        <v>22.5</v>
      </c>
      <c r="AK78">
        <v>40.299999999999997</v>
      </c>
      <c r="AL78">
        <v>19.899999999999999</v>
      </c>
      <c r="AM78">
        <v>30.9</v>
      </c>
      <c r="AN78">
        <v>18.100000000000001</v>
      </c>
      <c r="AO78">
        <v>36.6</v>
      </c>
      <c r="AP78">
        <v>45</v>
      </c>
      <c r="AQ78">
        <v>44.1</v>
      </c>
      <c r="AR78">
        <v>157</v>
      </c>
      <c r="AS78" t="s">
        <v>49</v>
      </c>
      <c r="AT78" t="s">
        <v>315</v>
      </c>
      <c r="AU78" t="s">
        <v>321</v>
      </c>
      <c r="AV78" t="s">
        <v>47</v>
      </c>
      <c r="AW78" t="s">
        <v>326</v>
      </c>
      <c r="AX78" t="s">
        <v>323</v>
      </c>
      <c r="AY78">
        <v>3.6999999999999998E-2</v>
      </c>
      <c r="AZ78">
        <v>7.3140000000000001</v>
      </c>
      <c r="BA78">
        <v>0.83165</v>
      </c>
      <c r="BB78">
        <v>1.8332599999999999</v>
      </c>
      <c r="BC78">
        <v>2.21999999999999</v>
      </c>
      <c r="BD78">
        <v>3.2806875304037599</v>
      </c>
      <c r="BE78" t="s">
        <v>319</v>
      </c>
      <c r="BF78" t="s">
        <v>320</v>
      </c>
    </row>
    <row r="79" spans="1:58" customFormat="1" x14ac:dyDescent="0.35">
      <c r="A79">
        <v>10</v>
      </c>
      <c r="B79">
        <v>10</v>
      </c>
      <c r="C79">
        <v>10</v>
      </c>
      <c r="D79">
        <v>14</v>
      </c>
      <c r="E79">
        <v>14</v>
      </c>
      <c r="F79">
        <v>14</v>
      </c>
      <c r="G79">
        <v>14</v>
      </c>
      <c r="H79">
        <v>10</v>
      </c>
      <c r="I79">
        <v>14</v>
      </c>
      <c r="J79">
        <v>14</v>
      </c>
      <c r="K79">
        <v>14</v>
      </c>
      <c r="L79">
        <v>14</v>
      </c>
      <c r="M79">
        <v>14</v>
      </c>
      <c r="N79">
        <v>14</v>
      </c>
      <c r="O79">
        <v>10</v>
      </c>
      <c r="P79">
        <v>12</v>
      </c>
      <c r="Q79">
        <v>12</v>
      </c>
      <c r="R79">
        <v>12</v>
      </c>
      <c r="S79">
        <v>14</v>
      </c>
      <c r="T79">
        <v>16</v>
      </c>
      <c r="U79">
        <v>16</v>
      </c>
      <c r="V79">
        <f>MAX(A79:U79)</f>
        <v>16</v>
      </c>
      <c r="W79" s="4" t="s">
        <v>138</v>
      </c>
      <c r="X79">
        <v>7.683941250480987E-2</v>
      </c>
      <c r="Y79">
        <v>3.66</v>
      </c>
      <c r="Z79">
        <v>21</v>
      </c>
      <c r="AA79">
        <v>71.599999999999994</v>
      </c>
      <c r="AB79">
        <v>63</v>
      </c>
      <c r="AC79">
        <v>29.1</v>
      </c>
      <c r="AD79">
        <v>13.5</v>
      </c>
      <c r="AE79">
        <v>1584</v>
      </c>
      <c r="AF79">
        <v>27.7</v>
      </c>
      <c r="AG79">
        <v>34.299999999999997</v>
      </c>
      <c r="AH79">
        <v>20.2</v>
      </c>
      <c r="AI79">
        <v>45.2</v>
      </c>
      <c r="AJ79">
        <v>20</v>
      </c>
      <c r="AK79">
        <v>26</v>
      </c>
      <c r="AL79">
        <v>18</v>
      </c>
      <c r="AM79">
        <v>26.5</v>
      </c>
      <c r="AN79">
        <v>25.4</v>
      </c>
      <c r="AO79">
        <v>37</v>
      </c>
      <c r="AP79">
        <v>44.55</v>
      </c>
      <c r="AQ79">
        <v>42.5</v>
      </c>
      <c r="AR79">
        <v>168</v>
      </c>
      <c r="AS79" t="s">
        <v>46</v>
      </c>
      <c r="AT79" t="s">
        <v>315</v>
      </c>
      <c r="AU79" t="s">
        <v>316</v>
      </c>
      <c r="AV79" t="s">
        <v>52</v>
      </c>
      <c r="AW79" t="s">
        <v>326</v>
      </c>
      <c r="AX79" t="s">
        <v>318</v>
      </c>
      <c r="AY79">
        <v>8.0000000000000002E-3</v>
      </c>
      <c r="AZ79">
        <v>11.464</v>
      </c>
      <c r="BA79">
        <v>0.21221000000000001</v>
      </c>
      <c r="BB79">
        <v>1.6990499999999999</v>
      </c>
      <c r="BC79">
        <v>0.48</v>
      </c>
      <c r="BD79">
        <v>0.52537700664828901</v>
      </c>
      <c r="BE79" t="s">
        <v>319</v>
      </c>
      <c r="BF79" t="s">
        <v>320</v>
      </c>
    </row>
    <row r="80" spans="1:58" customFormat="1" x14ac:dyDescent="0.35">
      <c r="A80">
        <v>10</v>
      </c>
      <c r="B80">
        <v>10</v>
      </c>
      <c r="C80">
        <v>10</v>
      </c>
      <c r="D80">
        <v>10</v>
      </c>
      <c r="E80">
        <v>10</v>
      </c>
      <c r="F80">
        <v>10</v>
      </c>
      <c r="G80">
        <v>10</v>
      </c>
      <c r="H80">
        <v>10</v>
      </c>
      <c r="I80">
        <v>10</v>
      </c>
      <c r="J80">
        <v>10</v>
      </c>
      <c r="K80">
        <v>10</v>
      </c>
      <c r="L80">
        <v>10</v>
      </c>
      <c r="M80">
        <v>10</v>
      </c>
      <c r="N80">
        <v>10</v>
      </c>
      <c r="O80">
        <v>10</v>
      </c>
      <c r="P80">
        <v>10</v>
      </c>
      <c r="Q80">
        <v>10</v>
      </c>
      <c r="R80">
        <v>10</v>
      </c>
      <c r="S80">
        <v>10</v>
      </c>
      <c r="T80">
        <v>20</v>
      </c>
      <c r="U80">
        <v>22</v>
      </c>
      <c r="V80">
        <f>MAX(A80:U80)</f>
        <v>22</v>
      </c>
      <c r="W80" s="4" t="s">
        <v>139</v>
      </c>
      <c r="X80">
        <v>0.87170103555661982</v>
      </c>
      <c r="Y80">
        <v>10.52</v>
      </c>
      <c r="Z80">
        <v>21</v>
      </c>
      <c r="AA80">
        <v>56.8</v>
      </c>
      <c r="AB80">
        <v>66</v>
      </c>
      <c r="AC80">
        <v>37.9</v>
      </c>
      <c r="AD80">
        <v>8.5</v>
      </c>
      <c r="AE80">
        <v>1183</v>
      </c>
      <c r="AF80">
        <v>21.2</v>
      </c>
      <c r="AG80">
        <v>22.8</v>
      </c>
      <c r="AH80">
        <v>15.4</v>
      </c>
      <c r="AI80">
        <v>33.9</v>
      </c>
      <c r="AJ80">
        <v>31.1</v>
      </c>
      <c r="AK80">
        <v>49.3</v>
      </c>
      <c r="AL80">
        <v>28.2</v>
      </c>
      <c r="AM80">
        <v>41.4</v>
      </c>
      <c r="AN80">
        <v>24.6</v>
      </c>
      <c r="AO80">
        <v>38.25</v>
      </c>
      <c r="AP80">
        <v>44.65</v>
      </c>
      <c r="AQ80">
        <v>41.5</v>
      </c>
      <c r="AR80">
        <v>152.4</v>
      </c>
      <c r="AS80" t="s">
        <v>49</v>
      </c>
      <c r="AT80" t="s">
        <v>327</v>
      </c>
      <c r="AU80" t="s">
        <v>321</v>
      </c>
      <c r="AV80" t="s">
        <v>47</v>
      </c>
      <c r="AW80" t="s">
        <v>326</v>
      </c>
      <c r="AX80" t="s">
        <v>323</v>
      </c>
      <c r="AY80">
        <v>1.4999999999999999E-2</v>
      </c>
      <c r="AZ80">
        <v>8.2100000000000009</v>
      </c>
      <c r="BA80">
        <v>0.26861000000000002</v>
      </c>
      <c r="BB80">
        <v>2.7740499999999999</v>
      </c>
      <c r="BC80">
        <v>0.89999999999999902</v>
      </c>
      <c r="BD80">
        <v>1.9419490838333</v>
      </c>
      <c r="BE80" t="s">
        <v>319</v>
      </c>
      <c r="BF80" t="s">
        <v>320</v>
      </c>
    </row>
    <row r="81" spans="1:58" customFormat="1" x14ac:dyDescent="0.35">
      <c r="A81">
        <v>10</v>
      </c>
      <c r="B81">
        <v>10</v>
      </c>
      <c r="C81">
        <v>12</v>
      </c>
      <c r="D81">
        <v>14</v>
      </c>
      <c r="E81">
        <v>14</v>
      </c>
      <c r="F81">
        <v>17</v>
      </c>
      <c r="G81">
        <v>20</v>
      </c>
      <c r="H81">
        <v>10</v>
      </c>
      <c r="I81">
        <v>10</v>
      </c>
      <c r="J81">
        <v>12</v>
      </c>
      <c r="K81">
        <v>14</v>
      </c>
      <c r="L81">
        <v>12</v>
      </c>
      <c r="M81">
        <v>22</v>
      </c>
      <c r="N81">
        <v>22</v>
      </c>
      <c r="O81">
        <v>10</v>
      </c>
      <c r="P81">
        <v>20</v>
      </c>
      <c r="Q81">
        <v>20</v>
      </c>
      <c r="R81">
        <v>20</v>
      </c>
      <c r="S81">
        <v>23</v>
      </c>
      <c r="T81">
        <v>31</v>
      </c>
      <c r="U81">
        <v>25</v>
      </c>
      <c r="V81">
        <f>MAX(A81:U81)</f>
        <v>31</v>
      </c>
      <c r="W81" s="4" t="s">
        <v>140</v>
      </c>
      <c r="X81" s="13">
        <v>0.31965333817760899</v>
      </c>
      <c r="Y81">
        <v>34.53</v>
      </c>
      <c r="Z81">
        <v>26</v>
      </c>
      <c r="AA81">
        <v>61.3</v>
      </c>
      <c r="AB81">
        <v>42</v>
      </c>
      <c r="AC81">
        <v>34.200000000000003</v>
      </c>
      <c r="AD81">
        <v>7</v>
      </c>
      <c r="AE81">
        <v>1272</v>
      </c>
      <c r="AF81">
        <v>23.8</v>
      </c>
      <c r="AG81">
        <v>24.9</v>
      </c>
      <c r="AH81">
        <v>18.100000000000001</v>
      </c>
      <c r="AI81">
        <v>36.700000000000003</v>
      </c>
      <c r="AJ81">
        <v>29.7</v>
      </c>
      <c r="AK81">
        <v>46.3</v>
      </c>
      <c r="AL81">
        <v>26</v>
      </c>
      <c r="AM81">
        <v>41.2</v>
      </c>
      <c r="AN81">
        <v>25.2</v>
      </c>
      <c r="AO81">
        <v>39.700000000000003</v>
      </c>
      <c r="AP81">
        <v>47.7</v>
      </c>
      <c r="AQ81">
        <v>40.5</v>
      </c>
      <c r="AR81">
        <v>156</v>
      </c>
      <c r="AS81" t="s">
        <v>49</v>
      </c>
      <c r="AT81" t="s">
        <v>315</v>
      </c>
      <c r="AU81" t="s">
        <v>316</v>
      </c>
      <c r="AV81" t="s">
        <v>52</v>
      </c>
      <c r="AW81" t="s">
        <v>317</v>
      </c>
      <c r="AX81" t="s">
        <v>323</v>
      </c>
      <c r="AY81">
        <v>0.04</v>
      </c>
      <c r="AZ81">
        <v>9.2260000000000009</v>
      </c>
      <c r="BA81">
        <v>0.54866999999999999</v>
      </c>
      <c r="BB81">
        <v>3.9477600000000002</v>
      </c>
      <c r="BC81">
        <v>2.4</v>
      </c>
      <c r="BD81" s="7">
        <v>4.3100372952813304</v>
      </c>
      <c r="BE81" t="s">
        <v>319</v>
      </c>
      <c r="BF81" t="s">
        <v>320</v>
      </c>
    </row>
    <row r="82" spans="1:58" customFormat="1" x14ac:dyDescent="0.35">
      <c r="A82">
        <v>10</v>
      </c>
      <c r="B82">
        <v>10</v>
      </c>
      <c r="C82">
        <v>10</v>
      </c>
      <c r="D82">
        <v>10</v>
      </c>
      <c r="E82">
        <v>10</v>
      </c>
      <c r="F82">
        <v>10</v>
      </c>
      <c r="G82">
        <v>10</v>
      </c>
      <c r="H82">
        <v>10</v>
      </c>
      <c r="I82">
        <v>10</v>
      </c>
      <c r="J82">
        <v>10</v>
      </c>
      <c r="K82">
        <v>10</v>
      </c>
      <c r="L82">
        <v>10</v>
      </c>
      <c r="M82">
        <v>12</v>
      </c>
      <c r="N82">
        <v>13</v>
      </c>
      <c r="O82">
        <v>10</v>
      </c>
      <c r="P82">
        <v>10</v>
      </c>
      <c r="Q82">
        <v>10</v>
      </c>
      <c r="R82">
        <v>10</v>
      </c>
      <c r="S82">
        <v>10</v>
      </c>
      <c r="T82">
        <v>10</v>
      </c>
      <c r="U82">
        <v>12</v>
      </c>
      <c r="V82">
        <f>MAX(A82:U82)</f>
        <v>13</v>
      </c>
      <c r="W82" s="4" t="s">
        <v>141</v>
      </c>
      <c r="X82">
        <v>0.80788565951214475</v>
      </c>
      <c r="Y82">
        <v>0.7</v>
      </c>
      <c r="Z82">
        <v>23</v>
      </c>
      <c r="AA82">
        <v>59.1</v>
      </c>
      <c r="AB82">
        <v>60</v>
      </c>
      <c r="AC82">
        <v>39</v>
      </c>
      <c r="AD82">
        <v>7.5</v>
      </c>
      <c r="AE82">
        <v>1214</v>
      </c>
      <c r="AF82">
        <v>21.2</v>
      </c>
      <c r="AG82">
        <v>22.3</v>
      </c>
      <c r="AH82">
        <v>15.6</v>
      </c>
      <c r="AI82">
        <v>33.6</v>
      </c>
      <c r="AJ82">
        <v>31.4</v>
      </c>
      <c r="AK82">
        <v>51.4</v>
      </c>
      <c r="AL82">
        <v>28.8</v>
      </c>
      <c r="AM82">
        <v>43.5</v>
      </c>
      <c r="AN82">
        <v>24.3</v>
      </c>
      <c r="AO82">
        <v>38.35</v>
      </c>
      <c r="AP82">
        <v>44.5</v>
      </c>
      <c r="AQ82">
        <v>41.6</v>
      </c>
      <c r="AR82">
        <v>156</v>
      </c>
      <c r="AS82" t="s">
        <v>49</v>
      </c>
      <c r="AT82" t="s">
        <v>315</v>
      </c>
      <c r="AU82" t="s">
        <v>321</v>
      </c>
      <c r="AV82" t="s">
        <v>47</v>
      </c>
      <c r="AW82" t="s">
        <v>326</v>
      </c>
      <c r="AX82" t="s">
        <v>323</v>
      </c>
      <c r="AY82">
        <v>2E-3</v>
      </c>
      <c r="AZ82">
        <v>9.8710000000000004</v>
      </c>
      <c r="BA82">
        <v>0.10724</v>
      </c>
      <c r="BB82">
        <v>0.78963000000000005</v>
      </c>
      <c r="BC82">
        <v>0.12</v>
      </c>
      <c r="BD82">
        <v>0.14982973893303</v>
      </c>
      <c r="BE82" t="s">
        <v>319</v>
      </c>
      <c r="BF82" t="s">
        <v>320</v>
      </c>
    </row>
    <row r="83" spans="1:58" customFormat="1" x14ac:dyDescent="0.35">
      <c r="A83">
        <v>11</v>
      </c>
      <c r="B83">
        <v>11</v>
      </c>
      <c r="C83">
        <v>11</v>
      </c>
      <c r="D83">
        <v>11</v>
      </c>
      <c r="E83">
        <v>11</v>
      </c>
      <c r="F83">
        <v>11</v>
      </c>
      <c r="G83">
        <v>12</v>
      </c>
      <c r="H83">
        <v>11</v>
      </c>
      <c r="I83">
        <v>13</v>
      </c>
      <c r="J83">
        <v>12</v>
      </c>
      <c r="K83">
        <v>14</v>
      </c>
      <c r="L83">
        <v>13</v>
      </c>
      <c r="M83">
        <v>13</v>
      </c>
      <c r="N83">
        <v>14</v>
      </c>
      <c r="O83">
        <v>12</v>
      </c>
      <c r="P83">
        <v>13</v>
      </c>
      <c r="Q83">
        <v>13</v>
      </c>
      <c r="R83">
        <v>14</v>
      </c>
      <c r="S83">
        <v>13</v>
      </c>
      <c r="T83">
        <v>13</v>
      </c>
      <c r="U83">
        <v>14</v>
      </c>
      <c r="V83">
        <f>MAX(A83:U83)</f>
        <v>14</v>
      </c>
      <c r="W83" s="4" t="s">
        <v>142</v>
      </c>
      <c r="X83">
        <v>0.23853158831283761</v>
      </c>
      <c r="Y83">
        <v>1.28</v>
      </c>
      <c r="Z83">
        <v>22</v>
      </c>
      <c r="AA83">
        <v>50.2</v>
      </c>
      <c r="AB83">
        <v>50</v>
      </c>
      <c r="AC83">
        <v>24.8</v>
      </c>
      <c r="AD83">
        <v>3.5</v>
      </c>
      <c r="AE83">
        <v>1139</v>
      </c>
      <c r="AF83">
        <v>27.4</v>
      </c>
      <c r="AG83">
        <v>31.5</v>
      </c>
      <c r="AH83">
        <v>21.8</v>
      </c>
      <c r="AI83">
        <v>40.5</v>
      </c>
      <c r="AJ83">
        <v>21.9</v>
      </c>
      <c r="AK83">
        <v>34.299999999999997</v>
      </c>
      <c r="AL83">
        <v>17.5</v>
      </c>
      <c r="AM83">
        <v>29.2</v>
      </c>
      <c r="AN83">
        <v>20.9</v>
      </c>
      <c r="AO83">
        <v>34.700000000000003</v>
      </c>
      <c r="AP83">
        <v>44.35</v>
      </c>
      <c r="AQ83">
        <v>41.4</v>
      </c>
      <c r="AR83">
        <v>155</v>
      </c>
      <c r="AS83" t="s">
        <v>49</v>
      </c>
      <c r="AT83" t="s">
        <v>315</v>
      </c>
      <c r="AU83" t="s">
        <v>322</v>
      </c>
      <c r="AV83" t="s">
        <v>47</v>
      </c>
      <c r="AW83" t="s">
        <v>317</v>
      </c>
      <c r="AX83" t="s">
        <v>323</v>
      </c>
      <c r="AY83">
        <v>8.0000000000000002E-3</v>
      </c>
      <c r="AZ83">
        <v>10.819000000000001</v>
      </c>
      <c r="BA83">
        <v>0.66705000000000003</v>
      </c>
      <c r="BB83">
        <v>0.65369999999999995</v>
      </c>
      <c r="BC83">
        <v>0.48</v>
      </c>
      <c r="BD83">
        <v>0.34635965623479797</v>
      </c>
      <c r="BE83" t="s">
        <v>319</v>
      </c>
      <c r="BF83" t="s">
        <v>320</v>
      </c>
    </row>
    <row r="84" spans="1:58" customFormat="1" x14ac:dyDescent="0.35">
      <c r="A84">
        <v>14</v>
      </c>
      <c r="B84">
        <v>14</v>
      </c>
      <c r="C84">
        <v>14</v>
      </c>
      <c r="D84">
        <v>15</v>
      </c>
      <c r="E84">
        <v>14</v>
      </c>
      <c r="F84">
        <v>19</v>
      </c>
      <c r="G84">
        <v>17</v>
      </c>
      <c r="H84">
        <v>14</v>
      </c>
      <c r="I84">
        <v>17</v>
      </c>
      <c r="J84">
        <v>14</v>
      </c>
      <c r="K84">
        <v>17</v>
      </c>
      <c r="L84">
        <v>21</v>
      </c>
      <c r="M84">
        <v>25</v>
      </c>
      <c r="N84">
        <v>25</v>
      </c>
      <c r="O84">
        <v>17</v>
      </c>
      <c r="P84">
        <v>25</v>
      </c>
      <c r="Q84">
        <v>25</v>
      </c>
      <c r="R84">
        <v>28</v>
      </c>
      <c r="S84">
        <v>29</v>
      </c>
      <c r="T84">
        <v>30</v>
      </c>
      <c r="U84">
        <v>32</v>
      </c>
      <c r="V84">
        <f>MAX(A84:U84)</f>
        <v>32</v>
      </c>
      <c r="W84" s="4" t="s">
        <v>143</v>
      </c>
      <c r="X84">
        <v>4.8493942997082538E-5</v>
      </c>
      <c r="Y84">
        <v>36.49</v>
      </c>
      <c r="Z84" t="s">
        <v>144</v>
      </c>
      <c r="AA84">
        <v>65.400000000000006</v>
      </c>
      <c r="AB84">
        <v>42</v>
      </c>
      <c r="AC84">
        <v>27</v>
      </c>
      <c r="AD84">
        <v>5</v>
      </c>
      <c r="AE84">
        <v>1514</v>
      </c>
      <c r="AF84">
        <v>31.4</v>
      </c>
      <c r="AG84">
        <v>38</v>
      </c>
      <c r="AH84">
        <v>23.6</v>
      </c>
      <c r="AI84">
        <v>48.7</v>
      </c>
      <c r="AJ84">
        <v>17.8</v>
      </c>
      <c r="AK84">
        <v>25.7</v>
      </c>
      <c r="AL84">
        <v>15.5</v>
      </c>
      <c r="AM84">
        <v>25.9</v>
      </c>
      <c r="AN84">
        <v>20.399999999999999</v>
      </c>
      <c r="AO84">
        <v>39.4</v>
      </c>
      <c r="AP84">
        <v>49.8</v>
      </c>
      <c r="AQ84">
        <v>53</v>
      </c>
      <c r="AR84">
        <v>179</v>
      </c>
      <c r="AS84" t="s">
        <v>46</v>
      </c>
      <c r="AT84" t="s">
        <v>330</v>
      </c>
      <c r="AU84" t="s">
        <v>316</v>
      </c>
      <c r="AV84" t="s">
        <v>47</v>
      </c>
      <c r="AW84" t="s">
        <v>317</v>
      </c>
      <c r="AX84" t="s">
        <v>318</v>
      </c>
      <c r="AY84">
        <v>0.05</v>
      </c>
      <c r="AZ84">
        <v>11.082000000000001</v>
      </c>
      <c r="BA84">
        <v>0.81515000000000004</v>
      </c>
      <c r="BB84">
        <v>2.5971199999999999</v>
      </c>
      <c r="BC84">
        <v>3</v>
      </c>
      <c r="BD84" s="7">
        <v>4.3684125182422502</v>
      </c>
      <c r="BE84" t="s">
        <v>319</v>
      </c>
      <c r="BF84" t="s">
        <v>320</v>
      </c>
    </row>
    <row r="85" spans="1:58" customFormat="1" x14ac:dyDescent="0.35">
      <c r="A85">
        <v>10</v>
      </c>
      <c r="B85">
        <v>10</v>
      </c>
      <c r="C85">
        <v>10</v>
      </c>
      <c r="D85">
        <v>10</v>
      </c>
      <c r="E85">
        <v>10</v>
      </c>
      <c r="F85">
        <v>10</v>
      </c>
      <c r="G85">
        <v>10</v>
      </c>
      <c r="H85">
        <v>10</v>
      </c>
      <c r="I85">
        <v>10</v>
      </c>
      <c r="J85">
        <v>10</v>
      </c>
      <c r="K85">
        <v>10</v>
      </c>
      <c r="L85">
        <v>12</v>
      </c>
      <c r="M85">
        <v>15</v>
      </c>
      <c r="N85">
        <v>26</v>
      </c>
      <c r="O85">
        <v>25</v>
      </c>
      <c r="P85">
        <v>28</v>
      </c>
      <c r="Q85">
        <v>26</v>
      </c>
      <c r="R85">
        <v>26</v>
      </c>
      <c r="S85">
        <v>27</v>
      </c>
      <c r="T85">
        <v>27</v>
      </c>
      <c r="U85">
        <v>27</v>
      </c>
      <c r="V85">
        <f>MAX(A85:U85)</f>
        <v>28</v>
      </c>
      <c r="W85" s="4" t="s">
        <v>145</v>
      </c>
      <c r="X85" s="13">
        <v>0.20098555396521281</v>
      </c>
      <c r="Y85">
        <v>61.57</v>
      </c>
      <c r="Z85">
        <v>23</v>
      </c>
      <c r="AA85">
        <v>78.099999999999994</v>
      </c>
      <c r="AB85">
        <v>43</v>
      </c>
      <c r="AC85">
        <v>26.9</v>
      </c>
      <c r="AD85">
        <v>10.5</v>
      </c>
      <c r="AE85">
        <v>1712</v>
      </c>
      <c r="AF85">
        <v>30.5</v>
      </c>
      <c r="AG85">
        <v>37</v>
      </c>
      <c r="AH85">
        <v>23</v>
      </c>
      <c r="AI85">
        <v>47.9</v>
      </c>
      <c r="AJ85">
        <v>18.600000000000001</v>
      </c>
      <c r="AK85">
        <v>25.4</v>
      </c>
      <c r="AL85">
        <v>16.7</v>
      </c>
      <c r="AM85">
        <v>25.5</v>
      </c>
      <c r="AN85">
        <v>25.5</v>
      </c>
      <c r="AO85">
        <v>41.6</v>
      </c>
      <c r="AP85">
        <v>47.15</v>
      </c>
      <c r="AQ85">
        <v>49.7</v>
      </c>
      <c r="AR85">
        <v>175</v>
      </c>
      <c r="AS85" t="s">
        <v>46</v>
      </c>
      <c r="AT85" t="s">
        <v>330</v>
      </c>
      <c r="AU85" t="s">
        <v>321</v>
      </c>
      <c r="AV85" t="s">
        <v>52</v>
      </c>
      <c r="AW85" t="s">
        <v>317</v>
      </c>
      <c r="AX85" t="s">
        <v>318</v>
      </c>
      <c r="AY85">
        <v>6.3E-2</v>
      </c>
      <c r="AZ85">
        <v>5.0359999999999996</v>
      </c>
      <c r="BA85">
        <v>0.76512000000000002</v>
      </c>
      <c r="BB85">
        <v>3.8028300000000002</v>
      </c>
      <c r="BC85">
        <v>3.78</v>
      </c>
      <c r="BD85">
        <v>5.53591697746067</v>
      </c>
      <c r="BE85" t="s">
        <v>319</v>
      </c>
      <c r="BF85" t="s">
        <v>324</v>
      </c>
    </row>
    <row r="86" spans="1:58" customFormat="1" x14ac:dyDescent="0.35">
      <c r="A86">
        <v>10</v>
      </c>
      <c r="B86">
        <v>11</v>
      </c>
      <c r="C86">
        <v>11</v>
      </c>
      <c r="D86">
        <v>11</v>
      </c>
      <c r="E86">
        <v>10</v>
      </c>
      <c r="F86">
        <v>10</v>
      </c>
      <c r="G86">
        <v>10</v>
      </c>
      <c r="H86">
        <v>10</v>
      </c>
      <c r="I86">
        <v>10</v>
      </c>
      <c r="J86">
        <v>10</v>
      </c>
      <c r="K86">
        <v>10</v>
      </c>
      <c r="L86">
        <v>10</v>
      </c>
      <c r="M86">
        <v>12</v>
      </c>
      <c r="N86">
        <v>12</v>
      </c>
      <c r="O86">
        <v>10</v>
      </c>
      <c r="P86">
        <v>13</v>
      </c>
      <c r="Q86">
        <v>13</v>
      </c>
      <c r="R86">
        <v>13</v>
      </c>
      <c r="S86">
        <v>13</v>
      </c>
      <c r="T86">
        <v>13</v>
      </c>
      <c r="U86">
        <v>13</v>
      </c>
      <c r="V86">
        <f>MAX(A86:U86)</f>
        <v>13</v>
      </c>
      <c r="W86" s="4" t="s">
        <v>146</v>
      </c>
      <c r="X86">
        <v>0.41837002960967867</v>
      </c>
      <c r="Y86">
        <v>1.68</v>
      </c>
      <c r="Z86" t="s">
        <v>147</v>
      </c>
      <c r="AA86">
        <v>80.3</v>
      </c>
      <c r="AB86">
        <v>45</v>
      </c>
      <c r="AC86">
        <v>29.4</v>
      </c>
      <c r="AD86">
        <v>14</v>
      </c>
      <c r="AE86">
        <v>1729</v>
      </c>
      <c r="AF86">
        <v>29</v>
      </c>
      <c r="AG86">
        <v>35.4</v>
      </c>
      <c r="AH86">
        <v>21.1</v>
      </c>
      <c r="AI86">
        <v>46.4</v>
      </c>
      <c r="AJ86">
        <v>20.5</v>
      </c>
      <c r="AK86">
        <v>27.8</v>
      </c>
      <c r="AL86">
        <v>18.7</v>
      </c>
      <c r="AM86">
        <v>28.2</v>
      </c>
      <c r="AN86">
        <v>27.8</v>
      </c>
      <c r="AO86">
        <v>42.55</v>
      </c>
      <c r="AP86">
        <v>51.3</v>
      </c>
      <c r="AQ86">
        <v>49.55</v>
      </c>
      <c r="AR86">
        <v>173</v>
      </c>
      <c r="AS86" t="s">
        <v>46</v>
      </c>
      <c r="AT86">
        <v>0</v>
      </c>
      <c r="AU86" t="s">
        <v>321</v>
      </c>
      <c r="AV86" t="s">
        <v>52</v>
      </c>
      <c r="AW86" t="s">
        <v>317</v>
      </c>
      <c r="AX86" t="s">
        <v>318</v>
      </c>
      <c r="AY86">
        <v>8.9999999999999993E-3</v>
      </c>
      <c r="AZ86">
        <v>9.5809999999999995</v>
      </c>
      <c r="BA86">
        <v>0.54181999999999997</v>
      </c>
      <c r="BB86">
        <v>0.87683</v>
      </c>
      <c r="BC86">
        <v>0.53999999999999904</v>
      </c>
      <c r="BD86">
        <v>0.97681206421274502</v>
      </c>
      <c r="BE86" t="s">
        <v>319</v>
      </c>
      <c r="BF86" t="s">
        <v>320</v>
      </c>
    </row>
    <row r="87" spans="1:58" customFormat="1" x14ac:dyDescent="0.35">
      <c r="A87">
        <v>10</v>
      </c>
      <c r="B87">
        <v>10</v>
      </c>
      <c r="C87">
        <v>10</v>
      </c>
      <c r="D87">
        <v>10</v>
      </c>
      <c r="E87">
        <v>10</v>
      </c>
      <c r="F87">
        <v>10</v>
      </c>
      <c r="G87">
        <v>10</v>
      </c>
      <c r="H87">
        <v>10</v>
      </c>
      <c r="I87">
        <v>10</v>
      </c>
      <c r="J87">
        <v>10</v>
      </c>
      <c r="K87">
        <v>10</v>
      </c>
      <c r="L87">
        <v>10</v>
      </c>
      <c r="M87">
        <v>10</v>
      </c>
      <c r="N87">
        <v>10</v>
      </c>
      <c r="O87">
        <v>10</v>
      </c>
      <c r="P87">
        <v>10</v>
      </c>
      <c r="Q87">
        <v>10</v>
      </c>
      <c r="R87">
        <v>10</v>
      </c>
      <c r="S87">
        <v>10</v>
      </c>
      <c r="T87">
        <v>10</v>
      </c>
      <c r="U87">
        <v>10</v>
      </c>
      <c r="V87">
        <f>MAX(A87:U87)</f>
        <v>10</v>
      </c>
      <c r="W87" s="4" t="s">
        <v>148</v>
      </c>
      <c r="Y87">
        <v>0</v>
      </c>
      <c r="Z87" t="s">
        <v>149</v>
      </c>
      <c r="AA87">
        <v>72.3</v>
      </c>
      <c r="AB87">
        <v>53</v>
      </c>
      <c r="AC87">
        <v>25.9</v>
      </c>
      <c r="AD87">
        <v>10.5</v>
      </c>
      <c r="AE87">
        <v>1619</v>
      </c>
      <c r="AF87">
        <v>30</v>
      </c>
      <c r="AG87">
        <v>36.200000000000003</v>
      </c>
      <c r="AH87">
        <v>22.9</v>
      </c>
      <c r="AI87">
        <v>47.4</v>
      </c>
      <c r="AJ87">
        <v>17.8</v>
      </c>
      <c r="AK87">
        <v>23.6</v>
      </c>
      <c r="AL87">
        <v>15.9</v>
      </c>
      <c r="AM87">
        <v>23.8</v>
      </c>
      <c r="AN87">
        <v>24.4</v>
      </c>
      <c r="AO87">
        <v>40.6</v>
      </c>
      <c r="AP87">
        <v>46.45</v>
      </c>
      <c r="AQ87">
        <v>45.15</v>
      </c>
      <c r="AR87">
        <v>172</v>
      </c>
      <c r="AS87" t="s">
        <v>46</v>
      </c>
      <c r="AT87">
        <v>0</v>
      </c>
      <c r="AU87" t="s">
        <v>322</v>
      </c>
      <c r="AV87" t="s">
        <v>47</v>
      </c>
      <c r="AW87" t="s">
        <v>326</v>
      </c>
      <c r="AX87" t="s">
        <v>318</v>
      </c>
      <c r="AY87">
        <v>0</v>
      </c>
      <c r="AZ87">
        <v>10</v>
      </c>
      <c r="BA87">
        <v>0</v>
      </c>
      <c r="BB87">
        <v>0</v>
      </c>
      <c r="BC87">
        <v>0</v>
      </c>
      <c r="BD87">
        <v>0</v>
      </c>
      <c r="BE87" t="s">
        <v>328</v>
      </c>
      <c r="BF87" t="s">
        <v>320</v>
      </c>
    </row>
    <row r="88" spans="1:58" customFormat="1" x14ac:dyDescent="0.35">
      <c r="A88">
        <v>10</v>
      </c>
      <c r="B88">
        <v>10</v>
      </c>
      <c r="C88">
        <v>10</v>
      </c>
      <c r="D88">
        <v>12</v>
      </c>
      <c r="E88">
        <v>14</v>
      </c>
      <c r="F88">
        <v>16</v>
      </c>
      <c r="G88">
        <v>22</v>
      </c>
      <c r="H88">
        <v>10</v>
      </c>
      <c r="I88">
        <v>12</v>
      </c>
      <c r="J88">
        <v>19</v>
      </c>
      <c r="K88">
        <v>25</v>
      </c>
      <c r="L88">
        <v>29</v>
      </c>
      <c r="M88">
        <v>31</v>
      </c>
      <c r="N88">
        <v>33</v>
      </c>
      <c r="O88">
        <v>15</v>
      </c>
      <c r="P88">
        <v>17</v>
      </c>
      <c r="Q88">
        <v>25</v>
      </c>
      <c r="R88">
        <v>33</v>
      </c>
      <c r="S88">
        <v>35</v>
      </c>
      <c r="T88">
        <v>44</v>
      </c>
      <c r="U88">
        <v>45</v>
      </c>
      <c r="V88">
        <f>MAX(A88:U88)</f>
        <v>45</v>
      </c>
      <c r="W88" s="4" t="s">
        <v>150</v>
      </c>
      <c r="X88">
        <v>4.795267096013808E-5</v>
      </c>
      <c r="Y88">
        <v>120.47</v>
      </c>
      <c r="Z88" t="s">
        <v>151</v>
      </c>
      <c r="AA88">
        <v>55.2</v>
      </c>
      <c r="AB88">
        <v>51</v>
      </c>
      <c r="AC88">
        <v>27.7</v>
      </c>
      <c r="AD88">
        <v>3.5</v>
      </c>
      <c r="AE88">
        <v>1207</v>
      </c>
      <c r="AF88">
        <v>26.6</v>
      </c>
      <c r="AG88">
        <v>29.5</v>
      </c>
      <c r="AH88">
        <v>20.8</v>
      </c>
      <c r="AI88">
        <v>39.1</v>
      </c>
      <c r="AJ88">
        <v>23.2</v>
      </c>
      <c r="AK88">
        <v>37.9</v>
      </c>
      <c r="AL88">
        <v>19.399999999999999</v>
      </c>
      <c r="AM88">
        <v>31.8</v>
      </c>
      <c r="AN88">
        <v>20.8</v>
      </c>
      <c r="AO88">
        <v>39.4</v>
      </c>
      <c r="AP88">
        <v>46.4</v>
      </c>
      <c r="AQ88">
        <v>42.65</v>
      </c>
      <c r="AR88">
        <v>163</v>
      </c>
      <c r="AS88" t="s">
        <v>49</v>
      </c>
      <c r="AT88" t="s">
        <v>327</v>
      </c>
      <c r="AU88" t="s">
        <v>322</v>
      </c>
      <c r="AV88" t="s">
        <v>47</v>
      </c>
      <c r="AW88" t="s">
        <v>317</v>
      </c>
      <c r="AX88" t="s">
        <v>323</v>
      </c>
      <c r="AY88">
        <v>8.5000000000000006E-2</v>
      </c>
      <c r="AZ88">
        <v>6.5060000000000002</v>
      </c>
      <c r="BA88">
        <v>0.72138999999999998</v>
      </c>
      <c r="BB88">
        <v>5.7934200000000002</v>
      </c>
      <c r="BC88">
        <v>5.0999999999999996</v>
      </c>
      <c r="BD88">
        <v>6.8941138316847699</v>
      </c>
      <c r="BE88" t="s">
        <v>319</v>
      </c>
      <c r="BF88" t="s">
        <v>324</v>
      </c>
    </row>
    <row r="89" spans="1:58" customFormat="1" x14ac:dyDescent="0.35">
      <c r="A89">
        <v>10</v>
      </c>
      <c r="B89">
        <v>11</v>
      </c>
      <c r="C89">
        <v>13</v>
      </c>
      <c r="D89">
        <v>15</v>
      </c>
      <c r="E89">
        <v>13</v>
      </c>
      <c r="F89">
        <v>16</v>
      </c>
      <c r="G89">
        <v>15</v>
      </c>
      <c r="H89">
        <v>15</v>
      </c>
      <c r="I89">
        <v>17</v>
      </c>
      <c r="J89">
        <v>17</v>
      </c>
      <c r="K89">
        <v>19</v>
      </c>
      <c r="L89">
        <v>22</v>
      </c>
      <c r="M89">
        <v>24</v>
      </c>
      <c r="N89">
        <v>25</v>
      </c>
      <c r="O89">
        <v>22</v>
      </c>
      <c r="P89">
        <v>27</v>
      </c>
      <c r="Q89">
        <v>27</v>
      </c>
      <c r="R89">
        <v>26</v>
      </c>
      <c r="S89">
        <v>29</v>
      </c>
      <c r="T89">
        <v>27</v>
      </c>
      <c r="U89">
        <v>23</v>
      </c>
      <c r="V89">
        <f>MAX(A89:U89)</f>
        <v>29</v>
      </c>
      <c r="W89" s="4" t="s">
        <v>152</v>
      </c>
      <c r="X89">
        <v>4.0950619647273652E-2</v>
      </c>
      <c r="Y89">
        <v>33.75</v>
      </c>
      <c r="Z89">
        <v>22</v>
      </c>
      <c r="AA89">
        <v>47.9</v>
      </c>
      <c r="AB89">
        <v>48</v>
      </c>
      <c r="AC89">
        <v>35.200000000000003</v>
      </c>
      <c r="AD89">
        <v>3</v>
      </c>
      <c r="AE89">
        <v>1064</v>
      </c>
      <c r="AF89">
        <v>22.8</v>
      </c>
      <c r="AG89">
        <v>26.6</v>
      </c>
      <c r="AH89">
        <v>18</v>
      </c>
      <c r="AI89">
        <v>33.4</v>
      </c>
      <c r="AJ89">
        <v>26.1</v>
      </c>
      <c r="AK89">
        <v>47.1</v>
      </c>
      <c r="AL89">
        <v>24</v>
      </c>
      <c r="AM89">
        <v>37.700000000000003</v>
      </c>
      <c r="AN89">
        <v>19.7</v>
      </c>
      <c r="AO89">
        <v>35.5</v>
      </c>
      <c r="AP89">
        <v>46.65</v>
      </c>
      <c r="AQ89">
        <v>42.1</v>
      </c>
      <c r="AR89">
        <v>156</v>
      </c>
      <c r="AS89" t="s">
        <v>49</v>
      </c>
      <c r="AT89" t="s">
        <v>315</v>
      </c>
      <c r="AU89" t="s">
        <v>322</v>
      </c>
      <c r="AV89" t="s">
        <v>47</v>
      </c>
      <c r="AW89" t="s">
        <v>317</v>
      </c>
      <c r="AX89" t="s">
        <v>323</v>
      </c>
      <c r="AY89">
        <v>0.05</v>
      </c>
      <c r="AZ89">
        <v>10.444000000000001</v>
      </c>
      <c r="BA89">
        <v>0.88493999999999995</v>
      </c>
      <c r="BB89">
        <v>1.97045</v>
      </c>
      <c r="BC89">
        <v>3</v>
      </c>
      <c r="BD89">
        <v>2.8837360142694899</v>
      </c>
      <c r="BE89" t="s">
        <v>319</v>
      </c>
      <c r="BF89" t="s">
        <v>320</v>
      </c>
    </row>
    <row r="90" spans="1:58" customFormat="1" x14ac:dyDescent="0.35">
      <c r="A90">
        <v>10</v>
      </c>
      <c r="B90">
        <v>10</v>
      </c>
      <c r="C90">
        <v>10</v>
      </c>
      <c r="D90">
        <v>10</v>
      </c>
      <c r="E90">
        <v>10</v>
      </c>
      <c r="F90">
        <v>10</v>
      </c>
      <c r="G90">
        <v>11</v>
      </c>
      <c r="H90">
        <v>10</v>
      </c>
      <c r="I90">
        <v>10</v>
      </c>
      <c r="J90">
        <v>10</v>
      </c>
      <c r="K90">
        <v>10</v>
      </c>
      <c r="L90">
        <v>10</v>
      </c>
      <c r="M90">
        <v>10</v>
      </c>
      <c r="N90">
        <v>10</v>
      </c>
      <c r="O90">
        <v>10</v>
      </c>
      <c r="P90">
        <v>10</v>
      </c>
      <c r="Q90">
        <v>10</v>
      </c>
      <c r="R90">
        <v>10</v>
      </c>
      <c r="S90">
        <v>10</v>
      </c>
      <c r="T90">
        <v>10</v>
      </c>
      <c r="U90">
        <v>10</v>
      </c>
      <c r="V90">
        <f>MAX(A90:U90)</f>
        <v>11</v>
      </c>
      <c r="W90" s="4" t="s">
        <v>153</v>
      </c>
      <c r="X90">
        <v>0.80167680911631523</v>
      </c>
      <c r="Y90">
        <v>0.05</v>
      </c>
      <c r="Z90">
        <v>20</v>
      </c>
      <c r="AA90">
        <v>60.9</v>
      </c>
      <c r="AB90">
        <v>43</v>
      </c>
      <c r="AC90">
        <v>31.5</v>
      </c>
      <c r="AD90">
        <v>4.5</v>
      </c>
      <c r="AE90">
        <v>1281</v>
      </c>
      <c r="AF90">
        <v>25.4</v>
      </c>
      <c r="AG90">
        <v>26.8</v>
      </c>
      <c r="AH90">
        <v>19.600000000000001</v>
      </c>
      <c r="AI90">
        <v>37.9</v>
      </c>
      <c r="AJ90">
        <v>26.5</v>
      </c>
      <c r="AK90">
        <v>43</v>
      </c>
      <c r="AL90">
        <v>22.9</v>
      </c>
      <c r="AM90">
        <v>37.200000000000003</v>
      </c>
      <c r="AN90">
        <v>22.6</v>
      </c>
      <c r="AO90">
        <v>39.200000000000003</v>
      </c>
      <c r="AP90">
        <v>45.35</v>
      </c>
      <c r="AQ90">
        <v>41.5</v>
      </c>
      <c r="AR90">
        <v>164</v>
      </c>
      <c r="AS90" t="s">
        <v>49</v>
      </c>
      <c r="AT90" t="s">
        <v>315</v>
      </c>
      <c r="AU90" t="s">
        <v>322</v>
      </c>
      <c r="AV90" t="s">
        <v>47</v>
      </c>
      <c r="AW90" t="s">
        <v>317</v>
      </c>
      <c r="AX90" t="s">
        <v>323</v>
      </c>
      <c r="AY90">
        <v>0</v>
      </c>
      <c r="AZ90">
        <v>10.095000000000001</v>
      </c>
      <c r="BA90">
        <v>1.7579999999999998E-2</v>
      </c>
      <c r="BB90">
        <v>0.21107999999999999</v>
      </c>
      <c r="BC90">
        <v>0</v>
      </c>
      <c r="BD90">
        <v>0</v>
      </c>
      <c r="BE90" t="s">
        <v>328</v>
      </c>
      <c r="BF90" t="s">
        <v>320</v>
      </c>
    </row>
    <row r="91" spans="1:58" customFormat="1" x14ac:dyDescent="0.35">
      <c r="A91">
        <v>11</v>
      </c>
      <c r="B91">
        <v>11</v>
      </c>
      <c r="C91">
        <v>11</v>
      </c>
      <c r="D91">
        <v>11</v>
      </c>
      <c r="E91">
        <v>11</v>
      </c>
      <c r="F91">
        <v>11</v>
      </c>
      <c r="G91">
        <v>11</v>
      </c>
      <c r="H91">
        <v>11</v>
      </c>
      <c r="I91">
        <v>11</v>
      </c>
      <c r="J91">
        <v>11</v>
      </c>
      <c r="K91">
        <v>12</v>
      </c>
      <c r="L91">
        <v>13</v>
      </c>
      <c r="M91">
        <v>13</v>
      </c>
      <c r="N91">
        <v>13</v>
      </c>
      <c r="O91">
        <v>13</v>
      </c>
      <c r="P91">
        <v>13</v>
      </c>
      <c r="Q91">
        <v>13</v>
      </c>
      <c r="R91">
        <v>13</v>
      </c>
      <c r="S91">
        <v>13</v>
      </c>
      <c r="T91">
        <v>13</v>
      </c>
      <c r="U91">
        <v>13</v>
      </c>
      <c r="V91">
        <f>MAX(A91:U91)</f>
        <v>13</v>
      </c>
      <c r="W91" s="4" t="s">
        <v>154</v>
      </c>
      <c r="X91">
        <v>0.68876200748351946</v>
      </c>
      <c r="Y91">
        <v>0.95</v>
      </c>
      <c r="Z91" t="s">
        <v>155</v>
      </c>
      <c r="AA91">
        <v>55.3</v>
      </c>
      <c r="AB91">
        <v>49</v>
      </c>
      <c r="AC91">
        <v>26.4</v>
      </c>
      <c r="AD91">
        <v>3</v>
      </c>
      <c r="AE91">
        <v>1216</v>
      </c>
      <c r="AF91">
        <v>27.4</v>
      </c>
      <c r="AG91">
        <v>30.5</v>
      </c>
      <c r="AH91">
        <v>21.6</v>
      </c>
      <c r="AI91">
        <v>39.799999999999997</v>
      </c>
      <c r="AJ91">
        <v>22.2</v>
      </c>
      <c r="AK91">
        <v>36.5</v>
      </c>
      <c r="AL91">
        <v>18.3</v>
      </c>
      <c r="AM91">
        <v>30.7</v>
      </c>
      <c r="AN91">
        <v>20.3</v>
      </c>
      <c r="AO91">
        <v>36.5</v>
      </c>
      <c r="AP91">
        <v>44.4</v>
      </c>
      <c r="AQ91">
        <v>44.85</v>
      </c>
      <c r="AR91">
        <v>165</v>
      </c>
      <c r="AS91" t="s">
        <v>49</v>
      </c>
      <c r="AT91" t="s">
        <v>330</v>
      </c>
      <c r="AU91" t="s">
        <v>322</v>
      </c>
      <c r="AV91" t="s">
        <v>47</v>
      </c>
      <c r="AW91" t="s">
        <v>317</v>
      </c>
      <c r="AX91" t="s">
        <v>323</v>
      </c>
      <c r="AY91">
        <v>8.0000000000000002E-3</v>
      </c>
      <c r="AZ91">
        <v>10.541</v>
      </c>
      <c r="BA91">
        <v>0.78464</v>
      </c>
      <c r="BB91">
        <v>0.45288</v>
      </c>
      <c r="BC91">
        <v>0.48</v>
      </c>
      <c r="BD91">
        <v>0.52732284741365298</v>
      </c>
      <c r="BE91" t="s">
        <v>319</v>
      </c>
      <c r="BF91" t="s">
        <v>320</v>
      </c>
    </row>
    <row r="92" spans="1:58" customFormat="1" x14ac:dyDescent="0.35">
      <c r="A92">
        <v>11</v>
      </c>
      <c r="B92">
        <v>12</v>
      </c>
      <c r="C92">
        <v>11</v>
      </c>
      <c r="D92">
        <v>11</v>
      </c>
      <c r="E92">
        <v>11</v>
      </c>
      <c r="F92">
        <v>11</v>
      </c>
      <c r="G92">
        <v>11</v>
      </c>
      <c r="H92">
        <v>10</v>
      </c>
      <c r="I92">
        <v>11</v>
      </c>
      <c r="J92">
        <v>11</v>
      </c>
      <c r="K92">
        <v>11</v>
      </c>
      <c r="L92">
        <v>11</v>
      </c>
      <c r="M92">
        <v>11</v>
      </c>
      <c r="N92">
        <v>12</v>
      </c>
      <c r="O92">
        <v>10</v>
      </c>
      <c r="P92">
        <v>12</v>
      </c>
      <c r="Q92">
        <v>11</v>
      </c>
      <c r="R92">
        <v>12</v>
      </c>
      <c r="S92">
        <v>11</v>
      </c>
      <c r="T92">
        <v>11</v>
      </c>
      <c r="U92">
        <v>11</v>
      </c>
      <c r="V92">
        <f>MAX(A92:U92)</f>
        <v>12</v>
      </c>
      <c r="W92" s="4" t="s">
        <v>156</v>
      </c>
      <c r="X92">
        <v>0.43237872607854599</v>
      </c>
      <c r="Y92">
        <v>0.28000000000000003</v>
      </c>
      <c r="Z92">
        <v>25</v>
      </c>
      <c r="AA92">
        <v>63.8</v>
      </c>
      <c r="AB92">
        <v>51</v>
      </c>
      <c r="AC92">
        <v>32.700000000000003</v>
      </c>
      <c r="AD92">
        <v>6</v>
      </c>
      <c r="AE92">
        <v>1320</v>
      </c>
      <c r="AF92">
        <v>25</v>
      </c>
      <c r="AG92">
        <v>25.7</v>
      </c>
      <c r="AH92">
        <v>18.8</v>
      </c>
      <c r="AI92">
        <v>37.799999999999997</v>
      </c>
      <c r="AJ92">
        <v>27.8</v>
      </c>
      <c r="AK92">
        <v>43.7</v>
      </c>
      <c r="AL92">
        <v>24.2</v>
      </c>
      <c r="AM92">
        <v>37.700000000000003</v>
      </c>
      <c r="AN92">
        <v>23.7</v>
      </c>
      <c r="AO92">
        <v>40.799999999999997</v>
      </c>
      <c r="AP92">
        <v>45.7</v>
      </c>
      <c r="AQ92">
        <v>43.65</v>
      </c>
      <c r="AR92">
        <v>164.5</v>
      </c>
      <c r="AS92" t="s">
        <v>49</v>
      </c>
      <c r="AT92" t="s">
        <v>315</v>
      </c>
      <c r="AU92" t="s">
        <v>316</v>
      </c>
      <c r="AV92" t="s">
        <v>47</v>
      </c>
      <c r="AW92" t="s">
        <v>317</v>
      </c>
      <c r="AX92" t="s">
        <v>323</v>
      </c>
      <c r="AY92">
        <v>0</v>
      </c>
      <c r="AZ92">
        <v>11.022</v>
      </c>
      <c r="BA92">
        <v>6.8199999999999997E-3</v>
      </c>
      <c r="BB92">
        <v>0.52417000000000002</v>
      </c>
      <c r="BC92">
        <v>0</v>
      </c>
      <c r="BD92">
        <v>0.157613101994486</v>
      </c>
      <c r="BE92" t="s">
        <v>328</v>
      </c>
      <c r="BF92" t="s">
        <v>320</v>
      </c>
    </row>
    <row r="93" spans="1:58" customFormat="1" x14ac:dyDescent="0.35">
      <c r="A93">
        <v>10</v>
      </c>
      <c r="B93">
        <v>10</v>
      </c>
      <c r="C93">
        <v>10</v>
      </c>
      <c r="D93">
        <v>12</v>
      </c>
      <c r="E93">
        <v>21</v>
      </c>
      <c r="F93">
        <v>21</v>
      </c>
      <c r="G93">
        <v>22</v>
      </c>
      <c r="H93">
        <v>14</v>
      </c>
      <c r="I93">
        <v>12</v>
      </c>
      <c r="J93">
        <v>18</v>
      </c>
      <c r="K93">
        <v>26</v>
      </c>
      <c r="L93">
        <v>34</v>
      </c>
      <c r="M93">
        <v>36</v>
      </c>
      <c r="N93">
        <v>36</v>
      </c>
      <c r="O93">
        <v>30</v>
      </c>
      <c r="P93">
        <v>28</v>
      </c>
      <c r="Q93">
        <v>36</v>
      </c>
      <c r="R93">
        <v>36</v>
      </c>
      <c r="S93">
        <v>36</v>
      </c>
      <c r="T93">
        <v>36</v>
      </c>
      <c r="U93">
        <v>36</v>
      </c>
      <c r="V93">
        <f>MAX(A93:U93)</f>
        <v>36</v>
      </c>
      <c r="W93" s="4" t="s">
        <v>157</v>
      </c>
      <c r="X93">
        <v>2.2495683115809829E-7</v>
      </c>
      <c r="Y93">
        <v>104.09</v>
      </c>
      <c r="Z93">
        <v>18</v>
      </c>
      <c r="AA93">
        <v>65.599999999999994</v>
      </c>
      <c r="AB93">
        <v>59</v>
      </c>
      <c r="AC93">
        <v>32.1</v>
      </c>
      <c r="AD93">
        <v>6.5</v>
      </c>
      <c r="AE93">
        <v>1354</v>
      </c>
      <c r="AF93">
        <v>25.8</v>
      </c>
      <c r="AG93">
        <v>26.3</v>
      </c>
      <c r="AH93">
        <v>18.899999999999999</v>
      </c>
      <c r="AI93">
        <v>39.4</v>
      </c>
      <c r="AJ93">
        <v>28</v>
      </c>
      <c r="AK93">
        <v>41.9</v>
      </c>
      <c r="AL93">
        <v>24.1</v>
      </c>
      <c r="AM93">
        <v>35.700000000000003</v>
      </c>
      <c r="AN93">
        <v>24.4</v>
      </c>
      <c r="AO93">
        <v>37.65</v>
      </c>
      <c r="AP93">
        <v>46.9</v>
      </c>
      <c r="AQ93">
        <v>41.8</v>
      </c>
      <c r="AR93">
        <v>164</v>
      </c>
      <c r="AS93" t="s">
        <v>49</v>
      </c>
      <c r="AT93" t="s">
        <v>315</v>
      </c>
      <c r="AU93" t="s">
        <v>321</v>
      </c>
      <c r="AV93" t="s">
        <v>47</v>
      </c>
      <c r="AW93" t="s">
        <v>326</v>
      </c>
      <c r="AX93" t="s">
        <v>323</v>
      </c>
      <c r="AY93">
        <v>8.4000000000000005E-2</v>
      </c>
      <c r="AZ93">
        <v>9.2490000000000006</v>
      </c>
      <c r="BA93">
        <v>0.81174000000000002</v>
      </c>
      <c r="BB93">
        <v>4.4266800000000002</v>
      </c>
      <c r="BC93">
        <v>5.04</v>
      </c>
      <c r="BD93">
        <v>5.5689962704718603</v>
      </c>
      <c r="BE93" t="s">
        <v>319</v>
      </c>
      <c r="BF93" t="s">
        <v>324</v>
      </c>
    </row>
    <row r="94" spans="1:58" customFormat="1" x14ac:dyDescent="0.35">
      <c r="A94">
        <v>10</v>
      </c>
      <c r="B94">
        <v>10</v>
      </c>
      <c r="C94">
        <v>10</v>
      </c>
      <c r="D94">
        <v>10</v>
      </c>
      <c r="E94">
        <v>10</v>
      </c>
      <c r="F94">
        <v>10</v>
      </c>
      <c r="G94">
        <v>10</v>
      </c>
      <c r="H94">
        <v>10</v>
      </c>
      <c r="I94">
        <v>10</v>
      </c>
      <c r="J94">
        <v>10</v>
      </c>
      <c r="K94">
        <v>10</v>
      </c>
      <c r="L94">
        <v>11</v>
      </c>
      <c r="M94">
        <v>13</v>
      </c>
      <c r="N94">
        <v>14</v>
      </c>
      <c r="O94">
        <v>10</v>
      </c>
      <c r="P94">
        <v>10</v>
      </c>
      <c r="Q94">
        <v>12</v>
      </c>
      <c r="R94">
        <v>12</v>
      </c>
      <c r="S94">
        <v>12</v>
      </c>
      <c r="T94">
        <v>12</v>
      </c>
      <c r="U94">
        <v>12</v>
      </c>
      <c r="V94">
        <f>MAX(A94:U94)</f>
        <v>14</v>
      </c>
      <c r="W94" s="4" t="s">
        <v>158</v>
      </c>
      <c r="X94">
        <v>0.1140873246339482</v>
      </c>
      <c r="Y94">
        <v>1.46</v>
      </c>
      <c r="Z94">
        <v>32</v>
      </c>
      <c r="AA94">
        <v>51.1</v>
      </c>
      <c r="AB94">
        <v>53</v>
      </c>
      <c r="AC94">
        <v>39.200000000000003</v>
      </c>
      <c r="AD94">
        <v>6</v>
      </c>
      <c r="AE94">
        <v>1094</v>
      </c>
      <c r="AF94">
        <v>20.7</v>
      </c>
      <c r="AG94">
        <v>23.5</v>
      </c>
      <c r="AH94">
        <v>15.8</v>
      </c>
      <c r="AI94">
        <v>32.200000000000003</v>
      </c>
      <c r="AJ94">
        <v>30.3</v>
      </c>
      <c r="AK94">
        <v>51.9</v>
      </c>
      <c r="AL94">
        <v>28.2</v>
      </c>
      <c r="AM94">
        <v>43.1</v>
      </c>
      <c r="AN94">
        <v>22.7</v>
      </c>
      <c r="AO94">
        <v>38.450000000000003</v>
      </c>
      <c r="AP94">
        <v>46.1</v>
      </c>
      <c r="AQ94">
        <v>43.85</v>
      </c>
      <c r="AR94">
        <v>150</v>
      </c>
      <c r="AS94" t="s">
        <v>49</v>
      </c>
      <c r="AT94">
        <v>0</v>
      </c>
      <c r="AU94" t="s">
        <v>322</v>
      </c>
      <c r="AV94" t="s">
        <v>47</v>
      </c>
      <c r="AW94" t="s">
        <v>326</v>
      </c>
      <c r="AX94" t="s">
        <v>323</v>
      </c>
      <c r="AY94">
        <v>7.0000000000000001E-3</v>
      </c>
      <c r="AZ94">
        <v>9.516</v>
      </c>
      <c r="BA94">
        <v>0.43408999999999998</v>
      </c>
      <c r="BB94">
        <v>0.90764999999999996</v>
      </c>
      <c r="BC94">
        <v>0.42</v>
      </c>
      <c r="BD94">
        <v>0.548727095832657</v>
      </c>
      <c r="BE94" t="s">
        <v>319</v>
      </c>
      <c r="BF94" t="s">
        <v>320</v>
      </c>
    </row>
    <row r="95" spans="1:58" customFormat="1" x14ac:dyDescent="0.35">
      <c r="A95">
        <v>10</v>
      </c>
      <c r="B95">
        <v>12</v>
      </c>
      <c r="C95">
        <v>12</v>
      </c>
      <c r="D95">
        <v>12</v>
      </c>
      <c r="E95">
        <v>13</v>
      </c>
      <c r="F95">
        <v>15</v>
      </c>
      <c r="G95">
        <v>12</v>
      </c>
      <c r="H95">
        <v>10</v>
      </c>
      <c r="I95">
        <v>10</v>
      </c>
      <c r="J95">
        <v>10</v>
      </c>
      <c r="K95">
        <v>13</v>
      </c>
      <c r="L95">
        <v>13</v>
      </c>
      <c r="M95">
        <v>13</v>
      </c>
      <c r="N95">
        <v>13</v>
      </c>
      <c r="O95">
        <v>13</v>
      </c>
      <c r="P95">
        <v>13</v>
      </c>
      <c r="Q95">
        <v>15</v>
      </c>
      <c r="R95">
        <v>15</v>
      </c>
      <c r="S95">
        <v>15</v>
      </c>
      <c r="T95">
        <v>15</v>
      </c>
      <c r="U95">
        <v>13</v>
      </c>
      <c r="V95">
        <f>MAX(A95:U95)</f>
        <v>15</v>
      </c>
      <c r="W95" s="4" t="s">
        <v>159</v>
      </c>
      <c r="X95">
        <v>9.8561609000783965E-4</v>
      </c>
      <c r="Y95">
        <v>2.78</v>
      </c>
      <c r="Z95">
        <v>17</v>
      </c>
      <c r="AA95">
        <v>59.2</v>
      </c>
      <c r="AB95">
        <v>66</v>
      </c>
      <c r="AC95">
        <v>40</v>
      </c>
      <c r="AD95">
        <v>9</v>
      </c>
      <c r="AE95">
        <v>1210</v>
      </c>
      <c r="AF95">
        <v>20.5</v>
      </c>
      <c r="AG95">
        <v>21.5</v>
      </c>
      <c r="AH95">
        <v>14.8</v>
      </c>
      <c r="AI95">
        <v>32.9</v>
      </c>
      <c r="AJ95">
        <v>32.4</v>
      </c>
      <c r="AK95">
        <v>52.2</v>
      </c>
      <c r="AL95">
        <v>29.8</v>
      </c>
      <c r="AM95">
        <v>44</v>
      </c>
      <c r="AN95">
        <v>25</v>
      </c>
      <c r="AO95">
        <v>41.05</v>
      </c>
      <c r="AP95">
        <v>45</v>
      </c>
      <c r="AQ95">
        <v>41.55</v>
      </c>
      <c r="AR95">
        <v>154</v>
      </c>
      <c r="AS95" t="s">
        <v>49</v>
      </c>
      <c r="AT95" t="s">
        <v>330</v>
      </c>
      <c r="AU95" t="s">
        <v>322</v>
      </c>
      <c r="AV95" t="s">
        <v>52</v>
      </c>
      <c r="AW95" t="s">
        <v>326</v>
      </c>
      <c r="AX95" t="s">
        <v>323</v>
      </c>
      <c r="AY95">
        <v>8.9999999999999993E-3</v>
      </c>
      <c r="AZ95">
        <v>11.01</v>
      </c>
      <c r="BA95">
        <v>0.36752000000000001</v>
      </c>
      <c r="BB95">
        <v>1.32494</v>
      </c>
      <c r="BC95">
        <v>0.53999999999999904</v>
      </c>
      <c r="BD95">
        <v>1.1694502999837799</v>
      </c>
      <c r="BE95" t="s">
        <v>319</v>
      </c>
      <c r="BF95" t="s">
        <v>320</v>
      </c>
    </row>
    <row r="96" spans="1:58" customFormat="1" x14ac:dyDescent="0.35">
      <c r="A96">
        <v>10</v>
      </c>
      <c r="B96">
        <v>11</v>
      </c>
      <c r="C96">
        <v>11</v>
      </c>
      <c r="D96">
        <v>11</v>
      </c>
      <c r="E96">
        <v>11</v>
      </c>
      <c r="F96">
        <v>11</v>
      </c>
      <c r="G96">
        <v>13</v>
      </c>
      <c r="H96">
        <v>11</v>
      </c>
      <c r="I96">
        <v>13</v>
      </c>
      <c r="J96">
        <v>13</v>
      </c>
      <c r="K96">
        <v>22</v>
      </c>
      <c r="L96">
        <v>13</v>
      </c>
      <c r="M96">
        <v>23</v>
      </c>
      <c r="N96">
        <v>26</v>
      </c>
      <c r="O96">
        <v>32</v>
      </c>
      <c r="P96">
        <v>32</v>
      </c>
      <c r="Q96">
        <v>32</v>
      </c>
      <c r="R96">
        <v>32</v>
      </c>
      <c r="S96">
        <v>32</v>
      </c>
      <c r="T96">
        <v>32</v>
      </c>
      <c r="U96">
        <v>32</v>
      </c>
      <c r="V96">
        <f>MAX(A96:U96)</f>
        <v>32</v>
      </c>
      <c r="W96" s="4" t="s">
        <v>160</v>
      </c>
      <c r="X96">
        <v>1.3624803240225251E-3</v>
      </c>
      <c r="Y96">
        <v>87.55</v>
      </c>
      <c r="Z96" t="s">
        <v>161</v>
      </c>
      <c r="AA96">
        <v>82.8</v>
      </c>
      <c r="AB96">
        <v>42</v>
      </c>
      <c r="AC96">
        <v>38.799999999999997</v>
      </c>
      <c r="AD96">
        <v>11.5</v>
      </c>
      <c r="AE96">
        <v>1576</v>
      </c>
      <c r="AF96">
        <v>23</v>
      </c>
      <c r="AG96">
        <v>19.2</v>
      </c>
      <c r="AH96">
        <v>16</v>
      </c>
      <c r="AI96">
        <v>36.700000000000003</v>
      </c>
      <c r="AJ96">
        <v>35.5</v>
      </c>
      <c r="AK96">
        <v>52</v>
      </c>
      <c r="AL96">
        <v>31.4</v>
      </c>
      <c r="AM96">
        <v>48.6</v>
      </c>
      <c r="AN96">
        <v>30</v>
      </c>
      <c r="AO96">
        <v>46.65</v>
      </c>
      <c r="AP96">
        <v>49.85</v>
      </c>
      <c r="AQ96">
        <v>45.15</v>
      </c>
      <c r="AR96">
        <v>166</v>
      </c>
      <c r="AS96" t="s">
        <v>49</v>
      </c>
      <c r="AT96" t="s">
        <v>315</v>
      </c>
      <c r="AU96" t="s">
        <v>316</v>
      </c>
      <c r="AV96" t="s">
        <v>52</v>
      </c>
      <c r="AW96" t="s">
        <v>317</v>
      </c>
      <c r="AX96" t="s">
        <v>323</v>
      </c>
      <c r="AY96">
        <v>7.8E-2</v>
      </c>
      <c r="AZ96">
        <v>5.6790000000000003</v>
      </c>
      <c r="BA96">
        <v>0.83901999999999999</v>
      </c>
      <c r="BB96">
        <v>3.7542399999999998</v>
      </c>
      <c r="BC96">
        <v>4.68</v>
      </c>
      <c r="BD96">
        <v>6.0223771688016798</v>
      </c>
      <c r="BE96" t="s">
        <v>319</v>
      </c>
      <c r="BF96" t="s">
        <v>324</v>
      </c>
    </row>
    <row r="97" spans="1:58" customFormat="1" x14ac:dyDescent="0.35">
      <c r="A97">
        <v>10</v>
      </c>
      <c r="B97">
        <v>16</v>
      </c>
      <c r="C97">
        <v>26</v>
      </c>
      <c r="D97">
        <v>27</v>
      </c>
      <c r="E97">
        <v>21</v>
      </c>
      <c r="F97">
        <v>16</v>
      </c>
      <c r="G97">
        <v>19</v>
      </c>
      <c r="H97">
        <v>10</v>
      </c>
      <c r="I97">
        <v>16</v>
      </c>
      <c r="J97">
        <v>19</v>
      </c>
      <c r="K97">
        <v>19</v>
      </c>
      <c r="L97">
        <v>19</v>
      </c>
      <c r="M97">
        <v>17</v>
      </c>
      <c r="N97">
        <v>18</v>
      </c>
      <c r="O97">
        <v>10</v>
      </c>
      <c r="P97">
        <v>20</v>
      </c>
      <c r="Q97">
        <v>20</v>
      </c>
      <c r="R97">
        <v>16</v>
      </c>
      <c r="S97">
        <v>24</v>
      </c>
      <c r="T97">
        <v>14</v>
      </c>
      <c r="U97">
        <v>21</v>
      </c>
      <c r="V97">
        <f>MAX(A97:U97)</f>
        <v>27</v>
      </c>
      <c r="W97" s="4" t="s">
        <v>63</v>
      </c>
      <c r="X97">
        <v>0.74711829697226606</v>
      </c>
      <c r="Y97">
        <v>20.76</v>
      </c>
      <c r="Z97">
        <v>20</v>
      </c>
      <c r="AA97">
        <v>61.6</v>
      </c>
      <c r="AB97">
        <v>41</v>
      </c>
      <c r="AC97">
        <v>35.200000000000003</v>
      </c>
      <c r="AD97">
        <v>6</v>
      </c>
      <c r="AE97">
        <v>1272</v>
      </c>
      <c r="AF97">
        <v>23.5</v>
      </c>
      <c r="AG97">
        <v>24.4</v>
      </c>
      <c r="AH97">
        <v>18</v>
      </c>
      <c r="AI97">
        <v>35.700000000000003</v>
      </c>
      <c r="AJ97">
        <v>29.4</v>
      </c>
      <c r="AK97">
        <v>48</v>
      </c>
      <c r="AL97">
        <v>26.2</v>
      </c>
      <c r="AM97">
        <v>42.2</v>
      </c>
      <c r="AN97">
        <v>24.1</v>
      </c>
      <c r="AO97">
        <v>42.15</v>
      </c>
      <c r="AP97">
        <v>47.55</v>
      </c>
      <c r="AQ97">
        <v>40.200000000000003</v>
      </c>
      <c r="AR97">
        <v>160</v>
      </c>
      <c r="AS97" t="s">
        <v>49</v>
      </c>
      <c r="AT97" t="s">
        <v>315</v>
      </c>
      <c r="AU97" t="s">
        <v>321</v>
      </c>
      <c r="AV97" t="s">
        <v>47</v>
      </c>
      <c r="AW97" t="s">
        <v>317</v>
      </c>
      <c r="AX97" t="s">
        <v>323</v>
      </c>
      <c r="AY97">
        <v>1E-3</v>
      </c>
      <c r="AZ97">
        <v>17.846</v>
      </c>
      <c r="BA97">
        <v>4.0000000000000002E-4</v>
      </c>
      <c r="BB97">
        <v>4.5556099999999997</v>
      </c>
      <c r="BC97">
        <v>0.06</v>
      </c>
      <c r="BD97">
        <v>1.13442516620723</v>
      </c>
      <c r="BE97" t="s">
        <v>319</v>
      </c>
      <c r="BF97" t="s">
        <v>320</v>
      </c>
    </row>
    <row r="98" spans="1:58" customFormat="1" x14ac:dyDescent="0.35">
      <c r="A98">
        <v>11</v>
      </c>
      <c r="B98">
        <v>15</v>
      </c>
      <c r="C98">
        <v>14</v>
      </c>
      <c r="D98">
        <v>18</v>
      </c>
      <c r="E98">
        <v>17</v>
      </c>
      <c r="F98">
        <v>19</v>
      </c>
      <c r="G98">
        <v>22</v>
      </c>
      <c r="H98">
        <v>10</v>
      </c>
      <c r="I98">
        <v>15</v>
      </c>
      <c r="J98">
        <v>18</v>
      </c>
      <c r="K98">
        <v>18</v>
      </c>
      <c r="L98">
        <v>20</v>
      </c>
      <c r="M98">
        <v>18</v>
      </c>
      <c r="N98">
        <v>19</v>
      </c>
      <c r="O98">
        <v>17</v>
      </c>
      <c r="P98">
        <v>22</v>
      </c>
      <c r="Q98">
        <v>20</v>
      </c>
      <c r="R98">
        <v>21</v>
      </c>
      <c r="S98">
        <v>19</v>
      </c>
      <c r="T98">
        <v>21</v>
      </c>
      <c r="U98">
        <v>19</v>
      </c>
      <c r="V98">
        <f>MAX(A98:U98)</f>
        <v>22</v>
      </c>
      <c r="W98" s="4" t="s">
        <v>162</v>
      </c>
      <c r="X98">
        <v>5.6809020816988593E-3</v>
      </c>
      <c r="Y98">
        <v>9.99</v>
      </c>
      <c r="Z98" t="s">
        <v>163</v>
      </c>
      <c r="AA98">
        <v>81.900000000000006</v>
      </c>
      <c r="AB98">
        <v>42</v>
      </c>
      <c r="AC98">
        <v>28.6</v>
      </c>
      <c r="AD98">
        <v>12</v>
      </c>
      <c r="AE98">
        <v>1764</v>
      </c>
      <c r="AF98">
        <v>30</v>
      </c>
      <c r="AG98">
        <v>35.6</v>
      </c>
      <c r="AH98">
        <v>22.1</v>
      </c>
      <c r="AI98">
        <v>47.4</v>
      </c>
      <c r="AJ98">
        <v>19.8</v>
      </c>
      <c r="AK98">
        <v>27.4</v>
      </c>
      <c r="AL98">
        <v>17.899999999999999</v>
      </c>
      <c r="AM98">
        <v>27.7</v>
      </c>
      <c r="AN98">
        <v>26.1</v>
      </c>
      <c r="AO98">
        <v>40.950000000000003</v>
      </c>
      <c r="AP98">
        <v>50.75</v>
      </c>
      <c r="AQ98">
        <v>49.5</v>
      </c>
      <c r="AR98">
        <v>177</v>
      </c>
      <c r="AS98" t="s">
        <v>46</v>
      </c>
      <c r="AT98" t="s">
        <v>315</v>
      </c>
      <c r="AU98" t="s">
        <v>325</v>
      </c>
      <c r="AV98" t="s">
        <v>52</v>
      </c>
      <c r="AW98" t="s">
        <v>317</v>
      </c>
      <c r="AX98" t="s">
        <v>318</v>
      </c>
      <c r="AY98">
        <v>1.7999999999999999E-2</v>
      </c>
      <c r="AZ98">
        <v>14.452</v>
      </c>
      <c r="BA98">
        <v>0.38501999999999997</v>
      </c>
      <c r="BB98">
        <v>2.4787499999999998</v>
      </c>
      <c r="BC98">
        <v>1.0799999999999901</v>
      </c>
      <c r="BD98">
        <v>1.6131019944867799</v>
      </c>
      <c r="BE98" t="s">
        <v>319</v>
      </c>
      <c r="BF98" t="s">
        <v>320</v>
      </c>
    </row>
    <row r="99" spans="1:58" customFormat="1" x14ac:dyDescent="0.35">
      <c r="A99">
        <v>10</v>
      </c>
      <c r="B99">
        <v>11</v>
      </c>
      <c r="C99">
        <v>14</v>
      </c>
      <c r="D99">
        <v>20</v>
      </c>
      <c r="E99">
        <v>17</v>
      </c>
      <c r="F99">
        <v>16</v>
      </c>
      <c r="G99">
        <v>15</v>
      </c>
      <c r="H99">
        <v>12</v>
      </c>
      <c r="I99">
        <v>15</v>
      </c>
      <c r="J99">
        <v>19</v>
      </c>
      <c r="K99">
        <v>19</v>
      </c>
      <c r="L99">
        <v>16</v>
      </c>
      <c r="M99">
        <v>20</v>
      </c>
      <c r="N99">
        <v>20</v>
      </c>
      <c r="O99">
        <v>12</v>
      </c>
      <c r="P99">
        <v>18</v>
      </c>
      <c r="Q99">
        <v>20</v>
      </c>
      <c r="R99">
        <v>17</v>
      </c>
      <c r="S99">
        <v>17</v>
      </c>
      <c r="T99">
        <v>16</v>
      </c>
      <c r="U99">
        <v>19</v>
      </c>
      <c r="V99">
        <f>MAX(A99:U99)</f>
        <v>20</v>
      </c>
      <c r="W99" s="4" t="s">
        <v>164</v>
      </c>
      <c r="X99">
        <v>1.5465043519901651E-2</v>
      </c>
      <c r="Y99">
        <v>9.27</v>
      </c>
      <c r="Z99" t="s">
        <v>165</v>
      </c>
      <c r="AA99">
        <v>71</v>
      </c>
      <c r="AB99">
        <v>43</v>
      </c>
      <c r="AC99">
        <v>19.7</v>
      </c>
      <c r="AD99">
        <v>8.5</v>
      </c>
      <c r="AE99">
        <v>1637</v>
      </c>
      <c r="AF99">
        <v>33.5</v>
      </c>
      <c r="AG99">
        <v>38.1</v>
      </c>
      <c r="AH99">
        <v>27.2</v>
      </c>
      <c r="AI99">
        <v>50.7</v>
      </c>
      <c r="AJ99">
        <v>13.9</v>
      </c>
      <c r="AK99">
        <v>18.3</v>
      </c>
      <c r="AL99">
        <v>12.3</v>
      </c>
      <c r="AM99">
        <v>18</v>
      </c>
      <c r="AN99">
        <v>23.7</v>
      </c>
      <c r="AO99">
        <v>36.799999999999997</v>
      </c>
      <c r="AP99">
        <v>45.15</v>
      </c>
      <c r="AQ99">
        <v>47.05</v>
      </c>
      <c r="AR99">
        <v>173</v>
      </c>
      <c r="AS99" t="s">
        <v>46</v>
      </c>
      <c r="AT99" t="s">
        <v>330</v>
      </c>
      <c r="AU99" t="s">
        <v>321</v>
      </c>
      <c r="AV99" t="s">
        <v>47</v>
      </c>
      <c r="AW99" t="s">
        <v>317</v>
      </c>
      <c r="AX99" t="s">
        <v>318</v>
      </c>
      <c r="AY99">
        <v>1.4E-2</v>
      </c>
      <c r="AZ99">
        <v>13.797000000000001</v>
      </c>
      <c r="BA99">
        <v>0.2437</v>
      </c>
      <c r="BB99">
        <v>2.6477900000000001</v>
      </c>
      <c r="BC99">
        <v>0.84</v>
      </c>
      <c r="BD99">
        <v>0.60321063726284996</v>
      </c>
      <c r="BE99" t="s">
        <v>319</v>
      </c>
      <c r="BF99" t="s">
        <v>320</v>
      </c>
    </row>
    <row r="100" spans="1:58" customFormat="1" x14ac:dyDescent="0.35">
      <c r="A100">
        <v>26</v>
      </c>
      <c r="B100">
        <v>24</v>
      </c>
      <c r="C100">
        <v>32</v>
      </c>
      <c r="D100">
        <v>36</v>
      </c>
      <c r="E100">
        <v>38</v>
      </c>
      <c r="F100">
        <v>40</v>
      </c>
      <c r="G100">
        <v>40</v>
      </c>
      <c r="H100">
        <v>29</v>
      </c>
      <c r="I100">
        <v>44</v>
      </c>
      <c r="J100">
        <v>48</v>
      </c>
      <c r="K100">
        <v>41</v>
      </c>
      <c r="L100">
        <v>59</v>
      </c>
      <c r="M100">
        <v>61</v>
      </c>
      <c r="N100">
        <v>61</v>
      </c>
      <c r="O100">
        <v>59</v>
      </c>
      <c r="P100">
        <v>71</v>
      </c>
      <c r="Q100">
        <v>73</v>
      </c>
      <c r="R100">
        <v>74</v>
      </c>
      <c r="S100">
        <v>74</v>
      </c>
      <c r="T100">
        <v>75</v>
      </c>
      <c r="U100">
        <v>76</v>
      </c>
      <c r="V100">
        <f>MAX(A100:U100)</f>
        <v>76</v>
      </c>
      <c r="W100" s="4" t="s">
        <v>166</v>
      </c>
      <c r="X100">
        <v>2.903933809272642E-9</v>
      </c>
      <c r="Y100">
        <v>307.58</v>
      </c>
      <c r="Z100">
        <v>29</v>
      </c>
      <c r="AA100">
        <v>44.4</v>
      </c>
      <c r="AB100">
        <v>63</v>
      </c>
      <c r="AC100">
        <v>28.5</v>
      </c>
      <c r="AD100">
        <v>4</v>
      </c>
      <c r="AE100">
        <v>1027</v>
      </c>
      <c r="AF100">
        <v>23.9</v>
      </c>
      <c r="AG100">
        <v>28.7</v>
      </c>
      <c r="AH100">
        <v>18.5</v>
      </c>
      <c r="AI100">
        <v>36.1</v>
      </c>
      <c r="AJ100">
        <v>23.3</v>
      </c>
      <c r="AK100">
        <v>37.9</v>
      </c>
      <c r="AL100">
        <v>19.8</v>
      </c>
      <c r="AM100">
        <v>30.5</v>
      </c>
      <c r="AN100">
        <v>20.3</v>
      </c>
      <c r="AO100">
        <v>34.65</v>
      </c>
      <c r="AP100">
        <v>40.799999999999997</v>
      </c>
      <c r="AQ100">
        <v>38.6</v>
      </c>
      <c r="AR100">
        <v>148</v>
      </c>
      <c r="AS100" t="s">
        <v>49</v>
      </c>
      <c r="AT100" t="s">
        <v>315</v>
      </c>
      <c r="AU100" t="s">
        <v>321</v>
      </c>
      <c r="AV100" t="s">
        <v>47</v>
      </c>
      <c r="AW100" t="s">
        <v>326</v>
      </c>
      <c r="AX100" t="s">
        <v>323</v>
      </c>
      <c r="AY100">
        <v>0.154</v>
      </c>
      <c r="AZ100">
        <v>22.98</v>
      </c>
      <c r="BA100">
        <v>0.92691999999999997</v>
      </c>
      <c r="BB100">
        <v>4.7409600000000003</v>
      </c>
      <c r="BC100">
        <v>9.24</v>
      </c>
      <c r="BD100">
        <v>10.863628993027399</v>
      </c>
      <c r="BE100" t="s">
        <v>319</v>
      </c>
      <c r="BF100" t="s">
        <v>324</v>
      </c>
    </row>
    <row r="101" spans="1:58" customFormat="1" x14ac:dyDescent="0.35">
      <c r="A101">
        <v>10</v>
      </c>
      <c r="B101">
        <v>20</v>
      </c>
      <c r="C101">
        <v>35</v>
      </c>
      <c r="D101">
        <v>39</v>
      </c>
      <c r="E101">
        <v>39</v>
      </c>
      <c r="F101">
        <v>42</v>
      </c>
      <c r="G101">
        <v>49</v>
      </c>
      <c r="H101">
        <v>41</v>
      </c>
      <c r="I101">
        <v>29</v>
      </c>
      <c r="J101">
        <v>40</v>
      </c>
      <c r="K101">
        <v>53</v>
      </c>
      <c r="L101">
        <v>39</v>
      </c>
      <c r="M101">
        <v>31</v>
      </c>
      <c r="N101">
        <v>40</v>
      </c>
      <c r="O101">
        <v>40</v>
      </c>
      <c r="P101">
        <v>30</v>
      </c>
      <c r="Q101">
        <v>40</v>
      </c>
      <c r="R101">
        <v>42</v>
      </c>
      <c r="S101">
        <v>45</v>
      </c>
      <c r="T101">
        <v>43</v>
      </c>
      <c r="U101">
        <v>45</v>
      </c>
      <c r="V101">
        <f>MAX(A101:U101)</f>
        <v>53</v>
      </c>
      <c r="W101" s="4" t="s">
        <v>167</v>
      </c>
      <c r="X101">
        <v>1.419327452694579E-3</v>
      </c>
      <c r="Y101">
        <v>87.54</v>
      </c>
      <c r="Z101">
        <v>21</v>
      </c>
      <c r="AA101">
        <v>70.400000000000006</v>
      </c>
      <c r="AB101">
        <v>62</v>
      </c>
      <c r="AC101">
        <v>39.200000000000003</v>
      </c>
      <c r="AD101">
        <v>10.5</v>
      </c>
      <c r="AE101">
        <v>1384</v>
      </c>
      <c r="AF101">
        <v>21.9</v>
      </c>
      <c r="AG101">
        <v>20.6</v>
      </c>
      <c r="AH101">
        <v>15.5</v>
      </c>
      <c r="AI101">
        <v>34.799999999999997</v>
      </c>
      <c r="AJ101">
        <v>33.4</v>
      </c>
      <c r="AK101">
        <v>51.6</v>
      </c>
      <c r="AL101">
        <v>30.2</v>
      </c>
      <c r="AM101">
        <v>45.2</v>
      </c>
      <c r="AN101">
        <v>26.8</v>
      </c>
      <c r="AO101">
        <v>41.3</v>
      </c>
      <c r="AP101">
        <v>50.6</v>
      </c>
      <c r="AQ101">
        <v>43.6</v>
      </c>
      <c r="AR101">
        <v>162</v>
      </c>
      <c r="AS101" t="s">
        <v>49</v>
      </c>
      <c r="AT101" t="s">
        <v>327</v>
      </c>
      <c r="AU101" t="s">
        <v>316</v>
      </c>
      <c r="AV101" t="s">
        <v>52</v>
      </c>
      <c r="AW101" t="s">
        <v>326</v>
      </c>
      <c r="AX101" t="s">
        <v>323</v>
      </c>
      <c r="AY101">
        <v>4.2000000000000003E-2</v>
      </c>
      <c r="AZ101">
        <v>29.946999999999999</v>
      </c>
      <c r="BA101">
        <v>0.24198</v>
      </c>
      <c r="BB101">
        <v>8.1458499999999994</v>
      </c>
      <c r="BC101">
        <v>2.52</v>
      </c>
      <c r="BD101">
        <v>1.2998216312631701</v>
      </c>
      <c r="BE101" t="s">
        <v>319</v>
      </c>
      <c r="BF101" t="s">
        <v>320</v>
      </c>
    </row>
    <row r="102" spans="1:58" customFormat="1" x14ac:dyDescent="0.35">
      <c r="A102">
        <v>10</v>
      </c>
      <c r="B102">
        <v>10</v>
      </c>
      <c r="C102">
        <v>10</v>
      </c>
      <c r="D102">
        <v>10</v>
      </c>
      <c r="E102">
        <v>10</v>
      </c>
      <c r="F102">
        <v>10</v>
      </c>
      <c r="G102">
        <v>10</v>
      </c>
      <c r="H102">
        <v>10</v>
      </c>
      <c r="I102">
        <v>10</v>
      </c>
      <c r="J102">
        <v>10</v>
      </c>
      <c r="K102">
        <v>10</v>
      </c>
      <c r="L102">
        <v>11</v>
      </c>
      <c r="M102">
        <v>11</v>
      </c>
      <c r="N102">
        <v>11</v>
      </c>
      <c r="O102">
        <v>11</v>
      </c>
      <c r="P102">
        <v>11</v>
      </c>
      <c r="Q102">
        <v>11</v>
      </c>
      <c r="R102">
        <v>11</v>
      </c>
      <c r="S102">
        <v>11</v>
      </c>
      <c r="T102">
        <v>11</v>
      </c>
      <c r="U102">
        <v>11</v>
      </c>
      <c r="V102">
        <f>MAX(A102:U102)</f>
        <v>11</v>
      </c>
      <c r="W102" s="4" t="s">
        <v>168</v>
      </c>
      <c r="X102">
        <v>2.491411292930012E-5</v>
      </c>
      <c r="Y102">
        <v>0.25</v>
      </c>
      <c r="Z102" t="s">
        <v>169</v>
      </c>
      <c r="AA102">
        <v>63.4</v>
      </c>
      <c r="AB102">
        <v>65</v>
      </c>
      <c r="AC102">
        <v>30.7</v>
      </c>
      <c r="AD102">
        <v>10</v>
      </c>
      <c r="AE102">
        <v>1447</v>
      </c>
      <c r="AF102">
        <v>26.8</v>
      </c>
      <c r="AG102">
        <v>34.299999999999997</v>
      </c>
      <c r="AH102">
        <v>19.100000000000001</v>
      </c>
      <c r="AI102">
        <v>44.3</v>
      </c>
      <c r="AJ102">
        <v>20.5</v>
      </c>
      <c r="AK102">
        <v>27.3</v>
      </c>
      <c r="AL102">
        <v>18.2</v>
      </c>
      <c r="AM102">
        <v>28</v>
      </c>
      <c r="AN102">
        <v>22.7</v>
      </c>
      <c r="AO102">
        <v>37.700000000000003</v>
      </c>
      <c r="AP102">
        <v>45.95</v>
      </c>
      <c r="AQ102">
        <v>45.9</v>
      </c>
      <c r="AR102">
        <v>167</v>
      </c>
      <c r="AS102" t="s">
        <v>46</v>
      </c>
      <c r="AT102" t="s">
        <v>315</v>
      </c>
      <c r="AU102" t="s">
        <v>322</v>
      </c>
      <c r="AV102" t="s">
        <v>47</v>
      </c>
      <c r="AW102" t="s">
        <v>326</v>
      </c>
      <c r="AX102" t="s">
        <v>318</v>
      </c>
      <c r="AY102">
        <v>4.0000000000000001E-3</v>
      </c>
      <c r="AZ102">
        <v>9.7469999999999999</v>
      </c>
      <c r="BA102">
        <v>0.74897999999999998</v>
      </c>
      <c r="BB102">
        <v>0.25023000000000001</v>
      </c>
      <c r="BC102">
        <v>0.24</v>
      </c>
      <c r="BD102">
        <v>0.28798443327387702</v>
      </c>
      <c r="BE102" t="s">
        <v>319</v>
      </c>
      <c r="BF102" t="s">
        <v>320</v>
      </c>
    </row>
    <row r="103" spans="1:58" customFormat="1" x14ac:dyDescent="0.35">
      <c r="A103">
        <v>10</v>
      </c>
      <c r="B103">
        <v>10</v>
      </c>
      <c r="C103">
        <v>10</v>
      </c>
      <c r="D103">
        <v>10</v>
      </c>
      <c r="E103">
        <v>10</v>
      </c>
      <c r="F103">
        <v>10</v>
      </c>
      <c r="G103">
        <v>12</v>
      </c>
      <c r="H103">
        <v>10</v>
      </c>
      <c r="I103">
        <v>10</v>
      </c>
      <c r="J103">
        <v>10</v>
      </c>
      <c r="K103">
        <v>10</v>
      </c>
      <c r="L103">
        <v>10</v>
      </c>
      <c r="M103">
        <v>12</v>
      </c>
      <c r="N103">
        <v>12</v>
      </c>
      <c r="O103">
        <v>10</v>
      </c>
      <c r="P103">
        <v>10</v>
      </c>
      <c r="Q103">
        <v>12</v>
      </c>
      <c r="R103">
        <v>12</v>
      </c>
      <c r="S103">
        <v>14</v>
      </c>
      <c r="T103">
        <v>14</v>
      </c>
      <c r="U103">
        <v>14</v>
      </c>
      <c r="V103">
        <f>MAX(A103:U103)</f>
        <v>14</v>
      </c>
      <c r="W103" s="4" t="s">
        <v>170</v>
      </c>
      <c r="X103">
        <v>5.7938788720948596E-3</v>
      </c>
      <c r="Y103">
        <v>2.14</v>
      </c>
      <c r="Z103">
        <v>15</v>
      </c>
      <c r="AA103">
        <v>52.9</v>
      </c>
      <c r="AB103">
        <v>62</v>
      </c>
      <c r="AC103">
        <v>32</v>
      </c>
      <c r="AD103">
        <v>4</v>
      </c>
      <c r="AE103">
        <v>1151</v>
      </c>
      <c r="AF103">
        <v>24.1</v>
      </c>
      <c r="AG103">
        <v>27</v>
      </c>
      <c r="AH103">
        <v>18.5</v>
      </c>
      <c r="AI103">
        <v>36</v>
      </c>
      <c r="AJ103">
        <v>25.1</v>
      </c>
      <c r="AK103">
        <v>42.5</v>
      </c>
      <c r="AL103">
        <v>22.2</v>
      </c>
      <c r="AM103">
        <v>34.200000000000003</v>
      </c>
      <c r="AN103">
        <v>20.399999999999999</v>
      </c>
      <c r="AO103">
        <v>36.85</v>
      </c>
      <c r="AP103">
        <v>46</v>
      </c>
      <c r="AQ103">
        <v>43</v>
      </c>
      <c r="AR103">
        <v>161</v>
      </c>
      <c r="AS103" t="s">
        <v>49</v>
      </c>
      <c r="AT103" t="s">
        <v>315</v>
      </c>
      <c r="AU103" t="s">
        <v>321</v>
      </c>
      <c r="AV103" t="s">
        <v>47</v>
      </c>
      <c r="AW103" t="s">
        <v>326</v>
      </c>
      <c r="AX103" t="s">
        <v>323</v>
      </c>
      <c r="AY103">
        <v>0.01</v>
      </c>
      <c r="AZ103">
        <v>9.2080000000000002</v>
      </c>
      <c r="BA103">
        <v>0.55537999999999998</v>
      </c>
      <c r="BB103">
        <v>0.97557000000000005</v>
      </c>
      <c r="BC103">
        <v>0.6</v>
      </c>
      <c r="BD103">
        <v>1.0818874655424</v>
      </c>
      <c r="BE103" t="s">
        <v>319</v>
      </c>
      <c r="BF103" t="s">
        <v>320</v>
      </c>
    </row>
    <row r="104" spans="1:58" customFormat="1" x14ac:dyDescent="0.35">
      <c r="A104">
        <v>10</v>
      </c>
      <c r="B104">
        <v>10</v>
      </c>
      <c r="C104">
        <v>10</v>
      </c>
      <c r="D104">
        <v>10</v>
      </c>
      <c r="E104">
        <v>11</v>
      </c>
      <c r="F104">
        <v>11</v>
      </c>
      <c r="G104">
        <v>11</v>
      </c>
      <c r="H104">
        <v>11</v>
      </c>
      <c r="I104">
        <v>11</v>
      </c>
      <c r="J104">
        <v>11</v>
      </c>
      <c r="K104">
        <v>11</v>
      </c>
      <c r="L104">
        <v>11</v>
      </c>
      <c r="M104">
        <v>11</v>
      </c>
      <c r="N104">
        <v>11</v>
      </c>
      <c r="O104">
        <v>11</v>
      </c>
      <c r="P104">
        <v>11</v>
      </c>
      <c r="Q104">
        <v>11</v>
      </c>
      <c r="R104">
        <v>11</v>
      </c>
      <c r="S104">
        <v>11</v>
      </c>
      <c r="T104">
        <v>11</v>
      </c>
      <c r="U104">
        <v>11</v>
      </c>
      <c r="V104">
        <f>MAX(A104:U104)</f>
        <v>11</v>
      </c>
      <c r="W104" s="4" t="s">
        <v>171</v>
      </c>
      <c r="X104">
        <v>1.291997413357357E-6</v>
      </c>
      <c r="Y104">
        <v>0.15</v>
      </c>
      <c r="Z104">
        <v>22</v>
      </c>
      <c r="AA104">
        <v>62.3</v>
      </c>
      <c r="AB104">
        <v>67</v>
      </c>
      <c r="AC104">
        <v>38.799999999999997</v>
      </c>
      <c r="AD104">
        <v>11</v>
      </c>
      <c r="AE104">
        <v>1262</v>
      </c>
      <c r="AF104">
        <v>21.2</v>
      </c>
      <c r="AG104">
        <v>21.6</v>
      </c>
      <c r="AH104">
        <v>15</v>
      </c>
      <c r="AI104">
        <v>34.4</v>
      </c>
      <c r="AJ104">
        <v>33.200000000000003</v>
      </c>
      <c r="AK104">
        <v>50.1</v>
      </c>
      <c r="AL104">
        <v>29.9</v>
      </c>
      <c r="AM104">
        <v>43.2</v>
      </c>
      <c r="AN104">
        <v>27</v>
      </c>
      <c r="AO104">
        <v>39.25</v>
      </c>
      <c r="AP104">
        <v>46.9</v>
      </c>
      <c r="AQ104">
        <v>38.1</v>
      </c>
      <c r="AR104">
        <v>152</v>
      </c>
      <c r="AS104" t="s">
        <v>49</v>
      </c>
      <c r="AT104" t="s">
        <v>315</v>
      </c>
      <c r="AU104" t="s">
        <v>322</v>
      </c>
      <c r="AV104" t="s">
        <v>52</v>
      </c>
      <c r="AW104" t="s">
        <v>326</v>
      </c>
      <c r="AX104" t="s">
        <v>323</v>
      </c>
      <c r="AY104">
        <v>2E-3</v>
      </c>
      <c r="AZ104">
        <v>10.355</v>
      </c>
      <c r="BA104">
        <v>0.47043000000000001</v>
      </c>
      <c r="BB104">
        <v>0.28576000000000001</v>
      </c>
      <c r="BC104">
        <v>0.12</v>
      </c>
      <c r="BD104">
        <v>0</v>
      </c>
      <c r="BE104" t="s">
        <v>319</v>
      </c>
      <c r="BF104" t="s">
        <v>320</v>
      </c>
    </row>
    <row r="105" spans="1:58" customFormat="1" x14ac:dyDescent="0.35">
      <c r="A105">
        <v>10</v>
      </c>
      <c r="B105">
        <v>10</v>
      </c>
      <c r="C105">
        <v>10</v>
      </c>
      <c r="D105">
        <v>12</v>
      </c>
      <c r="E105">
        <v>12</v>
      </c>
      <c r="F105">
        <v>12</v>
      </c>
      <c r="G105">
        <v>19</v>
      </c>
      <c r="H105">
        <v>14</v>
      </c>
      <c r="I105">
        <v>14</v>
      </c>
      <c r="J105">
        <v>21</v>
      </c>
      <c r="K105">
        <v>23</v>
      </c>
      <c r="L105">
        <v>23</v>
      </c>
      <c r="M105">
        <v>25</v>
      </c>
      <c r="N105">
        <v>25</v>
      </c>
      <c r="O105">
        <v>23</v>
      </c>
      <c r="P105">
        <v>25</v>
      </c>
      <c r="Q105">
        <v>27</v>
      </c>
      <c r="R105">
        <v>31</v>
      </c>
      <c r="S105">
        <v>30</v>
      </c>
      <c r="T105">
        <v>33</v>
      </c>
      <c r="U105">
        <v>35</v>
      </c>
      <c r="V105">
        <f>MAX(A105:U105)</f>
        <v>35</v>
      </c>
      <c r="W105" s="4" t="s">
        <v>172</v>
      </c>
      <c r="X105">
        <v>2.206917268970403E-7</v>
      </c>
      <c r="Y105">
        <v>62.98</v>
      </c>
      <c r="Z105" t="s">
        <v>173</v>
      </c>
      <c r="AA105">
        <v>78.900000000000006</v>
      </c>
      <c r="AB105">
        <v>54</v>
      </c>
      <c r="AC105">
        <v>25.5</v>
      </c>
      <c r="AD105">
        <v>10.5</v>
      </c>
      <c r="AE105">
        <v>1733</v>
      </c>
      <c r="AF105">
        <v>31</v>
      </c>
      <c r="AG105">
        <v>36</v>
      </c>
      <c r="AH105">
        <v>23.7</v>
      </c>
      <c r="AI105">
        <v>48.3</v>
      </c>
      <c r="AJ105">
        <v>17.5</v>
      </c>
      <c r="AK105">
        <v>23</v>
      </c>
      <c r="AL105">
        <v>15.7</v>
      </c>
      <c r="AM105">
        <v>23.2</v>
      </c>
      <c r="AN105">
        <v>24.4</v>
      </c>
      <c r="AO105">
        <v>40.450000000000003</v>
      </c>
      <c r="AP105">
        <v>47.05</v>
      </c>
      <c r="AQ105">
        <v>49.7</v>
      </c>
      <c r="AR105">
        <v>180</v>
      </c>
      <c r="AS105" t="s">
        <v>46</v>
      </c>
      <c r="AT105" t="s">
        <v>315</v>
      </c>
      <c r="AU105" t="s">
        <v>321</v>
      </c>
      <c r="AV105" t="s">
        <v>47</v>
      </c>
      <c r="AW105" t="s">
        <v>326</v>
      </c>
      <c r="AX105" t="s">
        <v>318</v>
      </c>
      <c r="AY105">
        <v>7.0000000000000007E-2</v>
      </c>
      <c r="AZ105">
        <v>7.6360000000000001</v>
      </c>
      <c r="BA105">
        <v>0.9466</v>
      </c>
      <c r="BB105">
        <v>1.8339799999999999</v>
      </c>
      <c r="BC105">
        <v>4.2</v>
      </c>
      <c r="BD105">
        <v>4.6135884546781201</v>
      </c>
      <c r="BE105" t="s">
        <v>319</v>
      </c>
      <c r="BF105" t="s">
        <v>324</v>
      </c>
    </row>
    <row r="106" spans="1:58" customFormat="1" x14ac:dyDescent="0.35">
      <c r="A106">
        <v>10</v>
      </c>
      <c r="B106">
        <v>10</v>
      </c>
      <c r="C106">
        <v>11</v>
      </c>
      <c r="D106">
        <v>11</v>
      </c>
      <c r="E106">
        <v>11</v>
      </c>
      <c r="F106">
        <v>11</v>
      </c>
      <c r="G106">
        <v>11</v>
      </c>
      <c r="H106">
        <v>11</v>
      </c>
      <c r="I106">
        <v>11</v>
      </c>
      <c r="J106">
        <v>12</v>
      </c>
      <c r="K106">
        <v>13</v>
      </c>
      <c r="L106">
        <v>15</v>
      </c>
      <c r="M106">
        <v>17</v>
      </c>
      <c r="N106">
        <v>19</v>
      </c>
      <c r="O106">
        <v>19</v>
      </c>
      <c r="P106">
        <v>17</v>
      </c>
      <c r="Q106">
        <v>22</v>
      </c>
      <c r="R106">
        <v>25</v>
      </c>
      <c r="S106">
        <v>24</v>
      </c>
      <c r="T106">
        <v>24</v>
      </c>
      <c r="U106">
        <v>25</v>
      </c>
      <c r="V106">
        <f>MAX(A106:U106)</f>
        <v>25</v>
      </c>
      <c r="W106" s="4" t="s">
        <v>174</v>
      </c>
      <c r="X106">
        <v>1.8469798104898539E-3</v>
      </c>
      <c r="Y106">
        <v>29.37</v>
      </c>
      <c r="Z106" t="s">
        <v>175</v>
      </c>
      <c r="AA106">
        <v>68.8</v>
      </c>
      <c r="AB106">
        <v>55</v>
      </c>
      <c r="AC106">
        <v>36.4</v>
      </c>
      <c r="AD106">
        <v>7.5</v>
      </c>
      <c r="AE106">
        <v>1377</v>
      </c>
      <c r="AF106">
        <v>23.3</v>
      </c>
      <c r="AG106">
        <v>22.7</v>
      </c>
      <c r="AH106">
        <v>17</v>
      </c>
      <c r="AI106">
        <v>36.6</v>
      </c>
      <c r="AJ106">
        <v>30.8</v>
      </c>
      <c r="AK106">
        <v>48.3</v>
      </c>
      <c r="AL106">
        <v>27.5</v>
      </c>
      <c r="AM106">
        <v>42</v>
      </c>
      <c r="AN106">
        <v>25.3</v>
      </c>
      <c r="AO106">
        <v>42.55</v>
      </c>
      <c r="AP106">
        <v>46.15</v>
      </c>
      <c r="AQ106">
        <v>44.75</v>
      </c>
      <c r="AR106">
        <v>165</v>
      </c>
      <c r="AS106" t="s">
        <v>49</v>
      </c>
      <c r="AT106" t="s">
        <v>315</v>
      </c>
      <c r="AU106" t="s">
        <v>316</v>
      </c>
      <c r="AV106" t="s">
        <v>52</v>
      </c>
      <c r="AW106" t="s">
        <v>326</v>
      </c>
      <c r="AX106" t="s">
        <v>323</v>
      </c>
      <c r="AY106">
        <v>4.5999999999999999E-2</v>
      </c>
      <c r="AZ106">
        <v>7.1</v>
      </c>
      <c r="BA106">
        <v>0.87741000000000002</v>
      </c>
      <c r="BB106">
        <v>1.8973100000000001</v>
      </c>
      <c r="BC106">
        <v>2.76</v>
      </c>
      <c r="BD106">
        <v>3.95784011675044</v>
      </c>
      <c r="BE106" t="s">
        <v>319</v>
      </c>
      <c r="BF106" t="s">
        <v>320</v>
      </c>
    </row>
    <row r="107" spans="1:58" customFormat="1" x14ac:dyDescent="0.35">
      <c r="A107">
        <v>10</v>
      </c>
      <c r="B107">
        <v>10</v>
      </c>
      <c r="C107">
        <v>10</v>
      </c>
      <c r="D107">
        <v>10</v>
      </c>
      <c r="E107">
        <v>14</v>
      </c>
      <c r="F107">
        <v>14</v>
      </c>
      <c r="G107">
        <v>16</v>
      </c>
      <c r="H107">
        <v>10</v>
      </c>
      <c r="I107">
        <v>10</v>
      </c>
      <c r="J107">
        <v>12</v>
      </c>
      <c r="K107">
        <v>14</v>
      </c>
      <c r="L107">
        <v>22</v>
      </c>
      <c r="M107">
        <v>25</v>
      </c>
      <c r="N107">
        <v>27</v>
      </c>
      <c r="O107">
        <v>16</v>
      </c>
      <c r="P107">
        <v>16</v>
      </c>
      <c r="Q107">
        <v>27</v>
      </c>
      <c r="R107">
        <v>37</v>
      </c>
      <c r="S107">
        <v>30</v>
      </c>
      <c r="T107">
        <v>37</v>
      </c>
      <c r="U107">
        <v>36</v>
      </c>
      <c r="V107">
        <f>MAX(A107:U107)</f>
        <v>37</v>
      </c>
      <c r="W107" s="4" t="s">
        <v>176</v>
      </c>
      <c r="X107">
        <v>2.9818511913937139E-6</v>
      </c>
      <c r="Y107">
        <v>88.92</v>
      </c>
      <c r="Z107" t="s">
        <v>177</v>
      </c>
      <c r="AA107">
        <v>69.900000000000006</v>
      </c>
      <c r="AB107">
        <v>53</v>
      </c>
      <c r="AC107">
        <v>26</v>
      </c>
      <c r="AD107">
        <v>11.5</v>
      </c>
      <c r="AE107">
        <v>1577</v>
      </c>
      <c r="AF107">
        <v>29.5</v>
      </c>
      <c r="AG107">
        <v>35.799999999999997</v>
      </c>
      <c r="AH107">
        <v>22.5</v>
      </c>
      <c r="AI107">
        <v>46.9</v>
      </c>
      <c r="AJ107">
        <v>17.899999999999999</v>
      </c>
      <c r="AK107">
        <v>23.7</v>
      </c>
      <c r="AL107">
        <v>16.100000000000001</v>
      </c>
      <c r="AM107">
        <v>23.9</v>
      </c>
      <c r="AN107">
        <v>24.8</v>
      </c>
      <c r="AO107">
        <v>37.35</v>
      </c>
      <c r="AP107">
        <v>48.35</v>
      </c>
      <c r="AQ107">
        <v>44.85</v>
      </c>
      <c r="AR107">
        <v>168</v>
      </c>
      <c r="AS107" t="s">
        <v>46</v>
      </c>
      <c r="AT107" t="s">
        <v>330</v>
      </c>
      <c r="AU107" t="s">
        <v>321</v>
      </c>
      <c r="AV107" t="s">
        <v>47</v>
      </c>
      <c r="AW107" t="s">
        <v>326</v>
      </c>
      <c r="AX107" t="s">
        <v>318</v>
      </c>
      <c r="AY107">
        <v>7.4999999999999997E-2</v>
      </c>
      <c r="AZ107">
        <v>5.3380000000000001</v>
      </c>
      <c r="BA107">
        <v>0.75768999999999997</v>
      </c>
      <c r="BB107">
        <v>4.6417000000000002</v>
      </c>
      <c r="BC107">
        <v>4.5</v>
      </c>
      <c r="BD107">
        <v>6.8941138316847699</v>
      </c>
      <c r="BE107" t="s">
        <v>319</v>
      </c>
      <c r="BF107" t="s">
        <v>324</v>
      </c>
    </row>
    <row r="108" spans="1:58" customFormat="1" x14ac:dyDescent="0.35">
      <c r="A108">
        <v>46</v>
      </c>
      <c r="B108">
        <v>46</v>
      </c>
      <c r="C108">
        <v>50</v>
      </c>
      <c r="D108">
        <v>59</v>
      </c>
      <c r="E108">
        <v>60</v>
      </c>
      <c r="F108">
        <v>60</v>
      </c>
      <c r="G108">
        <v>60</v>
      </c>
      <c r="H108">
        <v>60</v>
      </c>
      <c r="I108">
        <v>60</v>
      </c>
      <c r="J108">
        <v>60</v>
      </c>
      <c r="K108">
        <v>60</v>
      </c>
      <c r="L108">
        <v>70</v>
      </c>
      <c r="M108">
        <v>70</v>
      </c>
      <c r="N108">
        <v>70</v>
      </c>
      <c r="O108">
        <v>60</v>
      </c>
      <c r="P108">
        <v>70</v>
      </c>
      <c r="Q108">
        <v>70</v>
      </c>
      <c r="R108">
        <v>80</v>
      </c>
      <c r="S108">
        <v>80</v>
      </c>
      <c r="T108">
        <v>80</v>
      </c>
      <c r="U108">
        <v>80</v>
      </c>
      <c r="V108">
        <f>MAX(A108:U108)</f>
        <v>80</v>
      </c>
      <c r="W108" s="4" t="s">
        <v>178</v>
      </c>
      <c r="X108">
        <v>6.7661135289631047E-7</v>
      </c>
      <c r="Y108">
        <v>104.7</v>
      </c>
      <c r="Z108">
        <v>32</v>
      </c>
      <c r="AA108">
        <v>53.3</v>
      </c>
      <c r="AB108">
        <v>48</v>
      </c>
      <c r="AC108">
        <v>38.1</v>
      </c>
      <c r="AD108">
        <v>6.5</v>
      </c>
      <c r="AE108">
        <v>1131</v>
      </c>
      <c r="AF108">
        <v>21.2</v>
      </c>
      <c r="AG108">
        <v>23.6</v>
      </c>
      <c r="AH108">
        <v>16.100000000000001</v>
      </c>
      <c r="AI108">
        <v>33.299999999999997</v>
      </c>
      <c r="AJ108">
        <v>30.5</v>
      </c>
      <c r="AK108">
        <v>50.8</v>
      </c>
      <c r="AL108">
        <v>27.9</v>
      </c>
      <c r="AM108">
        <v>43.3</v>
      </c>
      <c r="AN108">
        <v>23.7</v>
      </c>
      <c r="AO108">
        <v>39.5</v>
      </c>
      <c r="AP108">
        <v>44.25</v>
      </c>
      <c r="AQ108">
        <v>40.15</v>
      </c>
      <c r="AR108">
        <v>150</v>
      </c>
      <c r="AS108" t="s">
        <v>49</v>
      </c>
      <c r="AT108" t="s">
        <v>330</v>
      </c>
      <c r="AU108" t="s">
        <v>316</v>
      </c>
      <c r="AV108" t="s">
        <v>47</v>
      </c>
      <c r="AW108" t="s">
        <v>317</v>
      </c>
      <c r="AX108" t="s">
        <v>323</v>
      </c>
      <c r="AY108">
        <v>8.6999999999999994E-2</v>
      </c>
      <c r="AZ108">
        <v>48.222999999999999</v>
      </c>
      <c r="BA108">
        <v>0.87034999999999996</v>
      </c>
      <c r="BB108">
        <v>3.6842800000000002</v>
      </c>
      <c r="BC108">
        <v>5.22</v>
      </c>
      <c r="BD108">
        <v>5.7402302578239004</v>
      </c>
      <c r="BE108" t="s">
        <v>319</v>
      </c>
      <c r="BF108" t="s">
        <v>324</v>
      </c>
    </row>
    <row r="109" spans="1:58" customFormat="1" x14ac:dyDescent="0.35">
      <c r="A109">
        <v>10</v>
      </c>
      <c r="B109">
        <v>10</v>
      </c>
      <c r="C109">
        <v>10</v>
      </c>
      <c r="D109">
        <v>10</v>
      </c>
      <c r="E109">
        <v>11</v>
      </c>
      <c r="F109">
        <v>11</v>
      </c>
      <c r="G109">
        <v>11</v>
      </c>
      <c r="H109">
        <v>10</v>
      </c>
      <c r="I109">
        <v>10</v>
      </c>
      <c r="J109">
        <v>10</v>
      </c>
      <c r="K109">
        <v>10</v>
      </c>
      <c r="L109">
        <v>11</v>
      </c>
      <c r="M109">
        <v>11</v>
      </c>
      <c r="N109">
        <v>10</v>
      </c>
      <c r="O109">
        <v>10</v>
      </c>
      <c r="P109">
        <v>10</v>
      </c>
      <c r="Q109">
        <v>12</v>
      </c>
      <c r="R109">
        <v>12</v>
      </c>
      <c r="S109">
        <v>12</v>
      </c>
      <c r="T109">
        <v>13</v>
      </c>
      <c r="U109">
        <v>11</v>
      </c>
      <c r="V109">
        <f>MAX(A109:U109)</f>
        <v>13</v>
      </c>
      <c r="W109" s="4" t="s">
        <v>179</v>
      </c>
      <c r="X109">
        <v>1.280774795210899E-2</v>
      </c>
      <c r="Y109">
        <v>0.78</v>
      </c>
      <c r="Z109" t="s">
        <v>180</v>
      </c>
      <c r="AA109">
        <v>93.9</v>
      </c>
      <c r="AB109">
        <v>56</v>
      </c>
      <c r="AC109">
        <v>29.1</v>
      </c>
      <c r="AD109">
        <v>21.5</v>
      </c>
      <c r="AE109">
        <v>1951</v>
      </c>
      <c r="AF109">
        <v>29.9</v>
      </c>
      <c r="AG109">
        <v>33.799999999999997</v>
      </c>
      <c r="AH109">
        <v>21.9</v>
      </c>
      <c r="AI109">
        <v>47.2</v>
      </c>
      <c r="AJ109">
        <v>21</v>
      </c>
      <c r="AK109">
        <v>24.2</v>
      </c>
      <c r="AL109">
        <v>19.600000000000001</v>
      </c>
      <c r="AM109">
        <v>24.9</v>
      </c>
      <c r="AN109">
        <v>31.7</v>
      </c>
      <c r="AO109">
        <v>39.9</v>
      </c>
      <c r="AP109">
        <v>50.55</v>
      </c>
      <c r="AQ109">
        <v>44.7</v>
      </c>
      <c r="AR109">
        <v>172</v>
      </c>
      <c r="AS109" t="s">
        <v>46</v>
      </c>
      <c r="AT109" t="s">
        <v>315</v>
      </c>
      <c r="AU109" t="s">
        <v>321</v>
      </c>
      <c r="AV109" t="s">
        <v>52</v>
      </c>
      <c r="AW109" t="s">
        <v>326</v>
      </c>
      <c r="AX109" t="s">
        <v>318</v>
      </c>
      <c r="AY109">
        <v>5.0000000000000001E-3</v>
      </c>
      <c r="AZ109">
        <v>9.8089999999999993</v>
      </c>
      <c r="BA109">
        <v>0.37113000000000002</v>
      </c>
      <c r="BB109">
        <v>0.69835000000000003</v>
      </c>
      <c r="BC109">
        <v>0.3</v>
      </c>
      <c r="BD109">
        <v>0.57596886654775403</v>
      </c>
      <c r="BE109" t="s">
        <v>319</v>
      </c>
      <c r="BF109" t="s">
        <v>320</v>
      </c>
    </row>
    <row r="110" spans="1:58" customFormat="1" x14ac:dyDescent="0.35">
      <c r="A110">
        <v>10</v>
      </c>
      <c r="B110">
        <v>10</v>
      </c>
      <c r="C110">
        <v>14</v>
      </c>
      <c r="D110">
        <v>12</v>
      </c>
      <c r="E110">
        <v>16</v>
      </c>
      <c r="F110">
        <v>16</v>
      </c>
      <c r="G110">
        <v>16</v>
      </c>
      <c r="H110">
        <v>16</v>
      </c>
      <c r="I110">
        <v>16</v>
      </c>
      <c r="J110">
        <v>24</v>
      </c>
      <c r="K110">
        <v>20</v>
      </c>
      <c r="L110">
        <v>20</v>
      </c>
      <c r="M110">
        <v>20</v>
      </c>
      <c r="N110">
        <v>20</v>
      </c>
      <c r="O110">
        <v>16</v>
      </c>
      <c r="P110">
        <v>20</v>
      </c>
      <c r="Q110">
        <v>20</v>
      </c>
      <c r="R110">
        <v>20</v>
      </c>
      <c r="S110">
        <v>20</v>
      </c>
      <c r="T110">
        <v>20</v>
      </c>
      <c r="U110">
        <v>20</v>
      </c>
      <c r="V110">
        <f>MAX(A110:U110)</f>
        <v>24</v>
      </c>
      <c r="W110" s="4" t="s">
        <v>181</v>
      </c>
      <c r="X110">
        <v>6.28126950425138E-2</v>
      </c>
      <c r="Y110">
        <v>13.01</v>
      </c>
      <c r="Z110">
        <v>30</v>
      </c>
      <c r="AA110">
        <v>81.5</v>
      </c>
      <c r="AB110">
        <v>42</v>
      </c>
      <c r="AC110">
        <v>26.3</v>
      </c>
      <c r="AD110">
        <v>10.5</v>
      </c>
      <c r="AE110">
        <v>1774</v>
      </c>
      <c r="AF110">
        <v>31.3</v>
      </c>
      <c r="AG110">
        <v>36</v>
      </c>
      <c r="AH110">
        <v>23.7</v>
      </c>
      <c r="AI110">
        <v>48.6</v>
      </c>
      <c r="AJ110">
        <v>18.2</v>
      </c>
      <c r="AK110">
        <v>25</v>
      </c>
      <c r="AL110">
        <v>16.399999999999999</v>
      </c>
      <c r="AM110">
        <v>25.1</v>
      </c>
      <c r="AN110">
        <v>25.2</v>
      </c>
      <c r="AO110">
        <v>39.75</v>
      </c>
      <c r="AP110">
        <v>51.55</v>
      </c>
      <c r="AQ110">
        <v>50.5</v>
      </c>
      <c r="AR110">
        <v>180</v>
      </c>
      <c r="AS110" t="s">
        <v>46</v>
      </c>
      <c r="AT110" t="s">
        <v>330</v>
      </c>
      <c r="AU110" t="s">
        <v>321</v>
      </c>
      <c r="AV110" t="s">
        <v>52</v>
      </c>
      <c r="AW110" t="s">
        <v>317</v>
      </c>
      <c r="AX110" t="s">
        <v>318</v>
      </c>
      <c r="AY110">
        <v>2.5999999999999999E-2</v>
      </c>
      <c r="AZ110">
        <v>12.7</v>
      </c>
      <c r="BA110">
        <v>0.60357000000000005</v>
      </c>
      <c r="BB110">
        <v>2.27075</v>
      </c>
      <c r="BC110">
        <v>1.5599999999999901</v>
      </c>
      <c r="BD110">
        <v>0.43586833144154302</v>
      </c>
      <c r="BE110" t="s">
        <v>319</v>
      </c>
      <c r="BF110" t="s">
        <v>320</v>
      </c>
    </row>
    <row r="111" spans="1:58" customFormat="1" x14ac:dyDescent="0.35">
      <c r="A111">
        <v>11</v>
      </c>
      <c r="B111">
        <v>11</v>
      </c>
      <c r="C111">
        <v>11</v>
      </c>
      <c r="D111">
        <v>12</v>
      </c>
      <c r="E111">
        <v>13</v>
      </c>
      <c r="F111">
        <v>12</v>
      </c>
      <c r="G111">
        <v>12</v>
      </c>
      <c r="H111">
        <v>12</v>
      </c>
      <c r="I111">
        <v>11</v>
      </c>
      <c r="J111">
        <v>13</v>
      </c>
      <c r="K111">
        <v>13</v>
      </c>
      <c r="L111">
        <v>11</v>
      </c>
      <c r="M111">
        <v>12</v>
      </c>
      <c r="N111">
        <v>22</v>
      </c>
      <c r="O111">
        <v>24</v>
      </c>
      <c r="P111">
        <v>22</v>
      </c>
      <c r="Q111">
        <v>22</v>
      </c>
      <c r="R111">
        <v>23</v>
      </c>
      <c r="S111">
        <v>22</v>
      </c>
      <c r="T111">
        <v>22</v>
      </c>
      <c r="U111">
        <v>23</v>
      </c>
      <c r="V111">
        <f>MAX(A111:U111)</f>
        <v>24</v>
      </c>
      <c r="W111" s="4" t="s">
        <v>182</v>
      </c>
      <c r="X111">
        <v>6.6118412800629528E-5</v>
      </c>
      <c r="Y111">
        <v>27.32</v>
      </c>
      <c r="Z111">
        <v>31</v>
      </c>
      <c r="AA111">
        <v>61.1</v>
      </c>
      <c r="AB111">
        <v>53</v>
      </c>
      <c r="AC111">
        <v>19.8</v>
      </c>
      <c r="AD111">
        <v>6.5</v>
      </c>
      <c r="AE111">
        <v>1464</v>
      </c>
      <c r="AF111">
        <v>31.8</v>
      </c>
      <c r="AG111">
        <v>37.9</v>
      </c>
      <c r="AH111">
        <v>26</v>
      </c>
      <c r="AI111">
        <v>49.1</v>
      </c>
      <c r="AJ111">
        <v>13.5</v>
      </c>
      <c r="AK111">
        <v>18.2</v>
      </c>
      <c r="AL111">
        <v>11.8</v>
      </c>
      <c r="AM111">
        <v>17.899999999999999</v>
      </c>
      <c r="AN111">
        <v>21.4</v>
      </c>
      <c r="AO111">
        <v>38.85</v>
      </c>
      <c r="AP111">
        <v>45.3</v>
      </c>
      <c r="AQ111">
        <v>47.2</v>
      </c>
      <c r="AR111">
        <v>169</v>
      </c>
      <c r="AS111" t="s">
        <v>46</v>
      </c>
      <c r="AT111" t="s">
        <v>315</v>
      </c>
      <c r="AU111" t="s">
        <v>322</v>
      </c>
      <c r="AV111" t="s">
        <v>47</v>
      </c>
      <c r="AW111" t="s">
        <v>326</v>
      </c>
      <c r="AX111" t="s">
        <v>318</v>
      </c>
      <c r="AY111">
        <v>0.04</v>
      </c>
      <c r="AZ111">
        <v>8.4420000000000002</v>
      </c>
      <c r="BA111">
        <v>0.71569000000000005</v>
      </c>
      <c r="BB111">
        <v>2.78722</v>
      </c>
      <c r="BC111">
        <v>2.4</v>
      </c>
      <c r="BD111">
        <v>3.5336468299010799</v>
      </c>
      <c r="BE111" t="s">
        <v>319</v>
      </c>
      <c r="BF111" t="s">
        <v>320</v>
      </c>
    </row>
    <row r="112" spans="1:58" customFormat="1" x14ac:dyDescent="0.35">
      <c r="A112">
        <v>10</v>
      </c>
      <c r="B112">
        <v>10</v>
      </c>
      <c r="C112">
        <v>10</v>
      </c>
      <c r="D112">
        <v>11</v>
      </c>
      <c r="E112">
        <v>11</v>
      </c>
      <c r="F112">
        <v>13</v>
      </c>
      <c r="G112">
        <v>12</v>
      </c>
      <c r="H112">
        <v>10</v>
      </c>
      <c r="I112">
        <v>11</v>
      </c>
      <c r="J112">
        <v>11</v>
      </c>
      <c r="K112">
        <v>16</v>
      </c>
      <c r="L112">
        <v>21</v>
      </c>
      <c r="M112">
        <v>16</v>
      </c>
      <c r="N112">
        <v>20</v>
      </c>
      <c r="O112">
        <v>19</v>
      </c>
      <c r="P112">
        <v>21</v>
      </c>
      <c r="Q112">
        <v>28</v>
      </c>
      <c r="R112">
        <v>17</v>
      </c>
      <c r="S112">
        <v>29</v>
      </c>
      <c r="T112">
        <v>23</v>
      </c>
      <c r="U112">
        <v>18</v>
      </c>
      <c r="V112">
        <f>MAX(A112:U112)</f>
        <v>29</v>
      </c>
      <c r="W112" s="4" t="s">
        <v>183</v>
      </c>
      <c r="X112">
        <v>1.5936193962373831E-2</v>
      </c>
      <c r="Y112">
        <v>33.85</v>
      </c>
      <c r="Z112">
        <v>29</v>
      </c>
      <c r="AA112">
        <v>63.2</v>
      </c>
      <c r="AB112">
        <v>51</v>
      </c>
      <c r="AC112">
        <v>39</v>
      </c>
      <c r="AD112">
        <v>7.5</v>
      </c>
      <c r="AE112">
        <v>1278</v>
      </c>
      <c r="AF112">
        <v>21.8</v>
      </c>
      <c r="AG112">
        <v>22.1</v>
      </c>
      <c r="AH112">
        <v>16.2</v>
      </c>
      <c r="AI112">
        <v>34</v>
      </c>
      <c r="AJ112">
        <v>31.7</v>
      </c>
      <c r="AK112">
        <v>52.4</v>
      </c>
      <c r="AL112">
        <v>29</v>
      </c>
      <c r="AM112">
        <v>45.5</v>
      </c>
      <c r="AN112">
        <v>24.7</v>
      </c>
      <c r="AO112">
        <v>44</v>
      </c>
      <c r="AP112">
        <v>46.45</v>
      </c>
      <c r="AQ112">
        <v>42.55</v>
      </c>
      <c r="AR112">
        <v>160</v>
      </c>
      <c r="AS112" t="s">
        <v>49</v>
      </c>
      <c r="AT112" t="s">
        <v>315</v>
      </c>
      <c r="AU112" t="s">
        <v>321</v>
      </c>
      <c r="AV112" t="s">
        <v>47</v>
      </c>
      <c r="AW112" t="s">
        <v>317</v>
      </c>
      <c r="AX112" t="s">
        <v>323</v>
      </c>
      <c r="AY112">
        <v>4.3999999999999997E-2</v>
      </c>
      <c r="AZ112">
        <v>7.9470000000000001</v>
      </c>
      <c r="BA112">
        <v>0.68057999999999996</v>
      </c>
      <c r="BB112">
        <v>3.28844</v>
      </c>
      <c r="BC112">
        <v>2.6399999999999899</v>
      </c>
      <c r="BD112">
        <v>3.2417707150964801</v>
      </c>
      <c r="BE112" t="s">
        <v>319</v>
      </c>
      <c r="BF112" t="s">
        <v>320</v>
      </c>
    </row>
    <row r="113" spans="1:58" customFormat="1" x14ac:dyDescent="0.35">
      <c r="A113">
        <v>10</v>
      </c>
      <c r="B113">
        <v>10</v>
      </c>
      <c r="C113">
        <v>11</v>
      </c>
      <c r="D113">
        <v>11</v>
      </c>
      <c r="E113">
        <v>10</v>
      </c>
      <c r="F113">
        <v>10</v>
      </c>
      <c r="G113">
        <v>12</v>
      </c>
      <c r="H113">
        <v>12</v>
      </c>
      <c r="I113">
        <v>12</v>
      </c>
      <c r="J113">
        <v>10</v>
      </c>
      <c r="K113">
        <v>15</v>
      </c>
      <c r="L113">
        <v>16</v>
      </c>
      <c r="M113">
        <v>17</v>
      </c>
      <c r="N113">
        <v>18</v>
      </c>
      <c r="O113">
        <v>14</v>
      </c>
      <c r="P113">
        <v>14</v>
      </c>
      <c r="Q113">
        <v>15</v>
      </c>
      <c r="R113">
        <v>15</v>
      </c>
      <c r="S113">
        <v>18</v>
      </c>
      <c r="T113">
        <v>15</v>
      </c>
      <c r="U113">
        <v>14</v>
      </c>
      <c r="V113">
        <f>MAX(A113:U113)</f>
        <v>18</v>
      </c>
      <c r="W113" s="4" t="s">
        <v>184</v>
      </c>
      <c r="X113">
        <v>1.0557306080817241E-2</v>
      </c>
      <c r="Y113">
        <v>7.06</v>
      </c>
      <c r="Z113" t="s">
        <v>185</v>
      </c>
      <c r="AA113">
        <v>64.400000000000006</v>
      </c>
      <c r="AB113">
        <v>46</v>
      </c>
      <c r="AC113">
        <v>22</v>
      </c>
      <c r="AD113">
        <v>8</v>
      </c>
      <c r="AE113">
        <v>1511</v>
      </c>
      <c r="AF113">
        <v>31.5</v>
      </c>
      <c r="AG113">
        <v>37.6</v>
      </c>
      <c r="AH113">
        <v>25.1</v>
      </c>
      <c r="AI113">
        <v>48.8</v>
      </c>
      <c r="AJ113">
        <v>15.1</v>
      </c>
      <c r="AK113">
        <v>20.7</v>
      </c>
      <c r="AL113">
        <v>13.4</v>
      </c>
      <c r="AM113">
        <v>20.5</v>
      </c>
      <c r="AN113">
        <v>22.8</v>
      </c>
      <c r="AO113">
        <v>38.65</v>
      </c>
      <c r="AP113">
        <v>44.15</v>
      </c>
      <c r="AQ113">
        <v>45.95</v>
      </c>
      <c r="AR113">
        <v>168</v>
      </c>
      <c r="AS113" t="s">
        <v>46</v>
      </c>
      <c r="AT113" t="s">
        <v>315</v>
      </c>
      <c r="AU113" t="s">
        <v>316</v>
      </c>
      <c r="AV113" t="s">
        <v>47</v>
      </c>
      <c r="AW113" t="s">
        <v>317</v>
      </c>
      <c r="AX113" t="s">
        <v>318</v>
      </c>
      <c r="AY113">
        <v>1.9E-2</v>
      </c>
      <c r="AZ113">
        <v>9.8000000000000007</v>
      </c>
      <c r="BA113">
        <v>0.60421999999999998</v>
      </c>
      <c r="BB113">
        <v>1.6717200000000001</v>
      </c>
      <c r="BC113">
        <v>1.1399999999999999</v>
      </c>
      <c r="BD113">
        <v>0.85033241446408203</v>
      </c>
      <c r="BE113" t="s">
        <v>319</v>
      </c>
      <c r="BF113" t="s">
        <v>320</v>
      </c>
    </row>
    <row r="114" spans="1:58" customFormat="1" x14ac:dyDescent="0.35">
      <c r="A114">
        <v>10</v>
      </c>
      <c r="B114">
        <v>10</v>
      </c>
      <c r="C114">
        <v>10</v>
      </c>
      <c r="D114">
        <v>12</v>
      </c>
      <c r="E114">
        <v>14</v>
      </c>
      <c r="F114">
        <v>16</v>
      </c>
      <c r="G114">
        <v>16</v>
      </c>
      <c r="H114">
        <v>10</v>
      </c>
      <c r="I114">
        <v>12</v>
      </c>
      <c r="J114">
        <v>14</v>
      </c>
      <c r="K114">
        <v>14</v>
      </c>
      <c r="L114">
        <v>14</v>
      </c>
      <c r="M114">
        <v>12</v>
      </c>
      <c r="N114">
        <v>16</v>
      </c>
      <c r="O114">
        <v>12</v>
      </c>
      <c r="P114">
        <v>14</v>
      </c>
      <c r="Q114">
        <v>16</v>
      </c>
      <c r="R114">
        <v>14</v>
      </c>
      <c r="S114">
        <v>14</v>
      </c>
      <c r="T114">
        <v>14</v>
      </c>
      <c r="U114">
        <v>14</v>
      </c>
      <c r="V114">
        <f>MAX(A114:U114)</f>
        <v>16</v>
      </c>
      <c r="W114" s="4" t="s">
        <v>186</v>
      </c>
      <c r="X114">
        <v>2.8653330374650179E-3</v>
      </c>
      <c r="Y114">
        <v>3.99</v>
      </c>
      <c r="Z114">
        <v>25</v>
      </c>
      <c r="AA114">
        <v>59.2</v>
      </c>
      <c r="AB114">
        <v>52</v>
      </c>
      <c r="AC114">
        <v>16.399999999999999</v>
      </c>
      <c r="AD114">
        <v>3</v>
      </c>
      <c r="AE114">
        <v>1452</v>
      </c>
      <c r="AF114">
        <v>34</v>
      </c>
      <c r="AG114">
        <v>39.6</v>
      </c>
      <c r="AH114">
        <v>28.6</v>
      </c>
      <c r="AI114">
        <v>51.2</v>
      </c>
      <c r="AJ114">
        <v>11</v>
      </c>
      <c r="AK114">
        <v>15.6</v>
      </c>
      <c r="AL114">
        <v>9.3000000000000007</v>
      </c>
      <c r="AM114">
        <v>14.9</v>
      </c>
      <c r="AN114">
        <v>18.899999999999999</v>
      </c>
      <c r="AO114">
        <v>36.450000000000003</v>
      </c>
      <c r="AP114">
        <v>43.55</v>
      </c>
      <c r="AQ114">
        <v>49</v>
      </c>
      <c r="AR114">
        <v>177</v>
      </c>
      <c r="AS114" t="s">
        <v>46</v>
      </c>
      <c r="AT114">
        <v>0</v>
      </c>
      <c r="AU114" t="s">
        <v>325</v>
      </c>
      <c r="AV114" t="s">
        <v>47</v>
      </c>
      <c r="AW114" t="s">
        <v>317</v>
      </c>
      <c r="AX114" t="s">
        <v>318</v>
      </c>
      <c r="AY114">
        <v>8.9999999999999993E-3</v>
      </c>
      <c r="AZ114">
        <v>11.500999999999999</v>
      </c>
      <c r="BA114">
        <v>0.26557999999999998</v>
      </c>
      <c r="BB114">
        <v>1.7120200000000001</v>
      </c>
      <c r="BC114">
        <v>0.53999999999999904</v>
      </c>
      <c r="BD114">
        <v>0.63434408950867505</v>
      </c>
      <c r="BE114" t="s">
        <v>319</v>
      </c>
      <c r="BF114" t="s">
        <v>320</v>
      </c>
    </row>
    <row r="115" spans="1:58" customFormat="1" x14ac:dyDescent="0.35">
      <c r="A115">
        <v>10</v>
      </c>
      <c r="B115">
        <v>10</v>
      </c>
      <c r="C115">
        <v>10</v>
      </c>
      <c r="D115">
        <v>14</v>
      </c>
      <c r="E115">
        <v>16</v>
      </c>
      <c r="F115">
        <v>22</v>
      </c>
      <c r="G115">
        <v>20</v>
      </c>
      <c r="H115">
        <v>12</v>
      </c>
      <c r="I115">
        <v>18</v>
      </c>
      <c r="J115">
        <v>14</v>
      </c>
      <c r="K115">
        <v>16</v>
      </c>
      <c r="L115">
        <v>16</v>
      </c>
      <c r="M115">
        <v>18</v>
      </c>
      <c r="N115">
        <v>22</v>
      </c>
      <c r="O115">
        <v>16</v>
      </c>
      <c r="P115">
        <v>23</v>
      </c>
      <c r="Q115">
        <v>23</v>
      </c>
      <c r="R115">
        <v>24</v>
      </c>
      <c r="S115">
        <v>24</v>
      </c>
      <c r="T115">
        <v>23</v>
      </c>
      <c r="U115">
        <v>24</v>
      </c>
      <c r="V115">
        <f>MAX(A115:U115)</f>
        <v>24</v>
      </c>
      <c r="W115" s="4" t="s">
        <v>187</v>
      </c>
      <c r="X115">
        <v>1.179711779518058E-2</v>
      </c>
      <c r="Y115">
        <v>23.55</v>
      </c>
      <c r="Z115">
        <v>20</v>
      </c>
      <c r="AA115">
        <v>52</v>
      </c>
      <c r="AB115">
        <v>69</v>
      </c>
      <c r="AC115">
        <v>31.6</v>
      </c>
      <c r="AD115">
        <v>4.5</v>
      </c>
      <c r="AE115">
        <v>1137</v>
      </c>
      <c r="AF115">
        <v>23.9</v>
      </c>
      <c r="AG115">
        <v>27</v>
      </c>
      <c r="AH115">
        <v>18.100000000000001</v>
      </c>
      <c r="AI115">
        <v>36.299999999999997</v>
      </c>
      <c r="AJ115">
        <v>25.4</v>
      </c>
      <c r="AK115">
        <v>41.3</v>
      </c>
      <c r="AL115">
        <v>22.3</v>
      </c>
      <c r="AM115">
        <v>33.1</v>
      </c>
      <c r="AN115">
        <v>21.1</v>
      </c>
      <c r="AO115">
        <v>38.5</v>
      </c>
      <c r="AP115">
        <v>45.45</v>
      </c>
      <c r="AQ115">
        <v>42.65</v>
      </c>
      <c r="AR115">
        <v>157</v>
      </c>
      <c r="AS115" t="s">
        <v>49</v>
      </c>
      <c r="AT115" t="s">
        <v>315</v>
      </c>
      <c r="AU115" t="s">
        <v>321</v>
      </c>
      <c r="AV115" t="s">
        <v>47</v>
      </c>
      <c r="AW115" t="s">
        <v>326</v>
      </c>
      <c r="AX115" t="s">
        <v>323</v>
      </c>
      <c r="AY115">
        <v>3.6999999999999998E-2</v>
      </c>
      <c r="AZ115">
        <v>11.102</v>
      </c>
      <c r="BA115">
        <v>0.68039000000000005</v>
      </c>
      <c r="BB115">
        <v>2.74356</v>
      </c>
      <c r="BC115">
        <v>2.21999999999999</v>
      </c>
      <c r="BD115">
        <v>2.8817901735041298</v>
      </c>
      <c r="BE115" t="s">
        <v>319</v>
      </c>
      <c r="BF115" t="s">
        <v>320</v>
      </c>
    </row>
    <row r="116" spans="1:58" customFormat="1" x14ac:dyDescent="0.35">
      <c r="A116">
        <v>26</v>
      </c>
      <c r="B116">
        <v>33</v>
      </c>
      <c r="C116">
        <v>33</v>
      </c>
      <c r="D116">
        <v>39</v>
      </c>
      <c r="E116">
        <v>42</v>
      </c>
      <c r="F116">
        <v>42</v>
      </c>
      <c r="G116">
        <v>43</v>
      </c>
      <c r="H116">
        <v>35</v>
      </c>
      <c r="I116">
        <v>43</v>
      </c>
      <c r="J116">
        <v>43</v>
      </c>
      <c r="K116">
        <v>43</v>
      </c>
      <c r="L116">
        <v>49</v>
      </c>
      <c r="M116">
        <v>49</v>
      </c>
      <c r="N116">
        <v>49</v>
      </c>
      <c r="O116">
        <v>43</v>
      </c>
      <c r="P116">
        <v>48</v>
      </c>
      <c r="Q116">
        <v>52</v>
      </c>
      <c r="R116">
        <v>53</v>
      </c>
      <c r="S116">
        <v>53</v>
      </c>
      <c r="T116">
        <v>53</v>
      </c>
      <c r="U116">
        <v>53</v>
      </c>
      <c r="V116">
        <f>MAX(A116:U116)</f>
        <v>53</v>
      </c>
      <c r="W116" s="4" t="s">
        <v>188</v>
      </c>
      <c r="X116">
        <v>1.10985883383707E-4</v>
      </c>
      <c r="Y116">
        <v>55.43</v>
      </c>
      <c r="Z116" t="s">
        <v>189</v>
      </c>
      <c r="AA116">
        <v>74.599999999999994</v>
      </c>
      <c r="AB116">
        <v>50</v>
      </c>
      <c r="AC116">
        <v>37</v>
      </c>
      <c r="AD116">
        <v>12</v>
      </c>
      <c r="AE116">
        <v>1463</v>
      </c>
      <c r="AF116">
        <v>23.6</v>
      </c>
      <c r="AG116">
        <v>21.7</v>
      </c>
      <c r="AH116">
        <v>16.600000000000001</v>
      </c>
      <c r="AI116">
        <v>37.4</v>
      </c>
      <c r="AJ116">
        <v>34.200000000000003</v>
      </c>
      <c r="AK116">
        <v>48.4</v>
      </c>
      <c r="AL116">
        <v>30</v>
      </c>
      <c r="AM116">
        <v>44.2</v>
      </c>
      <c r="AN116">
        <v>29.5</v>
      </c>
      <c r="AO116">
        <v>41.3</v>
      </c>
      <c r="AP116">
        <v>47.4</v>
      </c>
      <c r="AQ116">
        <v>42</v>
      </c>
      <c r="AR116">
        <v>159</v>
      </c>
      <c r="AS116" t="s">
        <v>49</v>
      </c>
      <c r="AT116" t="s">
        <v>330</v>
      </c>
      <c r="AU116" t="s">
        <v>321</v>
      </c>
      <c r="AV116" t="s">
        <v>52</v>
      </c>
      <c r="AW116" t="s">
        <v>317</v>
      </c>
      <c r="AX116" t="s">
        <v>323</v>
      </c>
      <c r="AY116">
        <v>6.2E-2</v>
      </c>
      <c r="AZ116">
        <v>32.487000000000002</v>
      </c>
      <c r="BA116">
        <v>0.83969000000000005</v>
      </c>
      <c r="BB116">
        <v>2.98089</v>
      </c>
      <c r="BC116">
        <v>3.71999999999999</v>
      </c>
      <c r="BD116">
        <v>3.7126641803145701</v>
      </c>
      <c r="BE116" t="s">
        <v>319</v>
      </c>
      <c r="BF116" t="s">
        <v>324</v>
      </c>
    </row>
    <row r="117" spans="1:58" customFormat="1" x14ac:dyDescent="0.35">
      <c r="A117">
        <v>10</v>
      </c>
      <c r="B117">
        <v>13</v>
      </c>
      <c r="C117">
        <v>16</v>
      </c>
      <c r="D117">
        <v>16</v>
      </c>
      <c r="E117">
        <v>16</v>
      </c>
      <c r="F117">
        <v>16</v>
      </c>
      <c r="G117">
        <v>16</v>
      </c>
      <c r="H117">
        <v>16</v>
      </c>
      <c r="I117">
        <v>16</v>
      </c>
      <c r="J117">
        <v>16</v>
      </c>
      <c r="K117">
        <v>16</v>
      </c>
      <c r="L117">
        <v>18</v>
      </c>
      <c r="M117">
        <v>18</v>
      </c>
      <c r="N117">
        <v>20</v>
      </c>
      <c r="O117">
        <v>19</v>
      </c>
      <c r="P117">
        <v>19</v>
      </c>
      <c r="Q117">
        <v>19</v>
      </c>
      <c r="R117">
        <v>21</v>
      </c>
      <c r="S117">
        <v>22</v>
      </c>
      <c r="T117">
        <v>23</v>
      </c>
      <c r="U117">
        <v>23</v>
      </c>
      <c r="V117">
        <f>MAX(A117:U117)</f>
        <v>23</v>
      </c>
      <c r="W117" s="4" t="s">
        <v>190</v>
      </c>
      <c r="X117">
        <v>2.2619796226838509E-4</v>
      </c>
      <c r="Y117">
        <v>9.67</v>
      </c>
      <c r="Z117">
        <v>17</v>
      </c>
      <c r="AA117">
        <v>64.599999999999994</v>
      </c>
      <c r="AB117">
        <v>62</v>
      </c>
      <c r="AC117">
        <v>37</v>
      </c>
      <c r="AD117">
        <v>8.5</v>
      </c>
      <c r="AE117">
        <v>1308</v>
      </c>
      <c r="AF117">
        <v>22.6</v>
      </c>
      <c r="AG117">
        <v>22.8</v>
      </c>
      <c r="AH117">
        <v>16.3</v>
      </c>
      <c r="AI117">
        <v>35.799999999999997</v>
      </c>
      <c r="AJ117">
        <v>31.3</v>
      </c>
      <c r="AK117">
        <v>48.3</v>
      </c>
      <c r="AL117">
        <v>28</v>
      </c>
      <c r="AM117">
        <v>41.5</v>
      </c>
      <c r="AN117">
        <v>25.6</v>
      </c>
      <c r="AO117">
        <v>41.95</v>
      </c>
      <c r="AP117">
        <v>49.3</v>
      </c>
      <c r="AQ117">
        <v>44.15</v>
      </c>
      <c r="AR117">
        <v>159</v>
      </c>
      <c r="AS117" t="s">
        <v>49</v>
      </c>
      <c r="AT117" t="s">
        <v>315</v>
      </c>
      <c r="AU117" t="s">
        <v>321</v>
      </c>
      <c r="AV117" t="s">
        <v>52</v>
      </c>
      <c r="AW117" t="s">
        <v>326</v>
      </c>
      <c r="AX117" t="s">
        <v>323</v>
      </c>
      <c r="AY117">
        <v>2.5999999999999999E-2</v>
      </c>
      <c r="AZ117">
        <v>12.678000000000001</v>
      </c>
      <c r="BA117">
        <v>0.86916000000000004</v>
      </c>
      <c r="BB117">
        <v>1.12504</v>
      </c>
      <c r="BC117">
        <v>1.5599999999999901</v>
      </c>
      <c r="BD117">
        <v>1.9030322685260199</v>
      </c>
      <c r="BE117" t="s">
        <v>319</v>
      </c>
      <c r="BF117" t="s">
        <v>320</v>
      </c>
    </row>
    <row r="118" spans="1:58" customFormat="1" x14ac:dyDescent="0.35">
      <c r="A118">
        <v>10</v>
      </c>
      <c r="B118">
        <v>10</v>
      </c>
      <c r="C118">
        <v>10</v>
      </c>
      <c r="D118">
        <v>10</v>
      </c>
      <c r="E118">
        <v>10</v>
      </c>
      <c r="F118">
        <v>10</v>
      </c>
      <c r="G118">
        <v>10</v>
      </c>
      <c r="H118">
        <v>10</v>
      </c>
      <c r="I118">
        <v>10</v>
      </c>
      <c r="J118">
        <v>10</v>
      </c>
      <c r="K118">
        <v>10</v>
      </c>
      <c r="L118">
        <v>10</v>
      </c>
      <c r="M118">
        <v>10</v>
      </c>
      <c r="N118">
        <v>10</v>
      </c>
      <c r="O118">
        <v>10</v>
      </c>
      <c r="P118">
        <v>10</v>
      </c>
      <c r="Q118">
        <v>10</v>
      </c>
      <c r="R118">
        <v>10</v>
      </c>
      <c r="S118">
        <v>11</v>
      </c>
      <c r="T118">
        <v>10</v>
      </c>
      <c r="U118">
        <v>12</v>
      </c>
      <c r="V118">
        <f>MAX(A118:U118)</f>
        <v>12</v>
      </c>
      <c r="W118" s="4" t="s">
        <v>191</v>
      </c>
      <c r="X118">
        <v>0.88576173087838062</v>
      </c>
      <c r="Y118">
        <v>0.22</v>
      </c>
      <c r="Z118" t="s">
        <v>192</v>
      </c>
      <c r="AA118">
        <v>59.3</v>
      </c>
      <c r="AB118">
        <v>58</v>
      </c>
      <c r="AC118">
        <v>20.399999999999999</v>
      </c>
      <c r="AD118">
        <v>5</v>
      </c>
      <c r="AE118">
        <v>1433</v>
      </c>
      <c r="AF118">
        <v>31.7</v>
      </c>
      <c r="AG118">
        <v>37.4</v>
      </c>
      <c r="AH118">
        <v>25.7</v>
      </c>
      <c r="AI118">
        <v>49</v>
      </c>
      <c r="AJ118">
        <v>13.6</v>
      </c>
      <c r="AK118">
        <v>18.399999999999999</v>
      </c>
      <c r="AL118">
        <v>11.6</v>
      </c>
      <c r="AM118">
        <v>18.2</v>
      </c>
      <c r="AN118">
        <v>19.600000000000001</v>
      </c>
      <c r="AO118">
        <v>36.799999999999997</v>
      </c>
      <c r="AP118">
        <v>46.1</v>
      </c>
      <c r="AQ118">
        <v>47.3</v>
      </c>
      <c r="AR118">
        <v>174</v>
      </c>
      <c r="AS118" t="s">
        <v>46</v>
      </c>
      <c r="AT118" t="s">
        <v>315</v>
      </c>
      <c r="AU118" t="s">
        <v>322</v>
      </c>
      <c r="AV118" t="s">
        <v>47</v>
      </c>
      <c r="AW118" t="s">
        <v>326</v>
      </c>
      <c r="AX118" t="s">
        <v>318</v>
      </c>
      <c r="AY118">
        <v>2E-3</v>
      </c>
      <c r="AZ118">
        <v>9.7650000000000006</v>
      </c>
      <c r="BA118">
        <v>0.22991</v>
      </c>
      <c r="BB118">
        <v>0.40944000000000003</v>
      </c>
      <c r="BC118">
        <v>0.12</v>
      </c>
      <c r="BD118">
        <v>0.25490514026268801</v>
      </c>
      <c r="BE118" t="s">
        <v>319</v>
      </c>
      <c r="BF118" t="s">
        <v>320</v>
      </c>
    </row>
    <row r="119" spans="1:58" customFormat="1" x14ac:dyDescent="0.35">
      <c r="A119">
        <v>10</v>
      </c>
      <c r="B119">
        <v>13</v>
      </c>
      <c r="C119">
        <v>14</v>
      </c>
      <c r="D119">
        <v>16</v>
      </c>
      <c r="E119">
        <v>18</v>
      </c>
      <c r="F119">
        <v>23</v>
      </c>
      <c r="G119">
        <v>26</v>
      </c>
      <c r="H119">
        <v>24</v>
      </c>
      <c r="I119">
        <v>26</v>
      </c>
      <c r="J119">
        <v>28</v>
      </c>
      <c r="K119">
        <v>32</v>
      </c>
      <c r="L119">
        <v>33</v>
      </c>
      <c r="M119">
        <v>35</v>
      </c>
      <c r="N119">
        <v>35</v>
      </c>
      <c r="O119">
        <v>33</v>
      </c>
      <c r="P119">
        <v>35</v>
      </c>
      <c r="Q119">
        <v>37</v>
      </c>
      <c r="R119">
        <v>37</v>
      </c>
      <c r="S119">
        <v>39</v>
      </c>
      <c r="T119">
        <v>39</v>
      </c>
      <c r="U119">
        <v>41</v>
      </c>
      <c r="V119">
        <f>MAX(A119:U119)</f>
        <v>41</v>
      </c>
      <c r="W119" s="4" t="s">
        <v>193</v>
      </c>
      <c r="X119">
        <v>1.2594909661739069E-6</v>
      </c>
      <c r="Y119">
        <v>86.78</v>
      </c>
      <c r="Z119">
        <v>32</v>
      </c>
      <c r="AA119">
        <v>49.4</v>
      </c>
      <c r="AB119">
        <v>59</v>
      </c>
      <c r="AC119">
        <v>28.4</v>
      </c>
      <c r="AD119">
        <v>7.5</v>
      </c>
      <c r="AE119">
        <v>1230</v>
      </c>
      <c r="AF119">
        <v>25.7</v>
      </c>
      <c r="AG119">
        <v>34.5</v>
      </c>
      <c r="AH119">
        <v>18.899999999999999</v>
      </c>
      <c r="AI119">
        <v>43.3</v>
      </c>
      <c r="AJ119">
        <v>18.899999999999999</v>
      </c>
      <c r="AK119">
        <v>24.9</v>
      </c>
      <c r="AL119">
        <v>16.5</v>
      </c>
      <c r="AM119">
        <v>25.4</v>
      </c>
      <c r="AN119">
        <v>21.4</v>
      </c>
      <c r="AO119">
        <v>35.4</v>
      </c>
      <c r="AP119">
        <v>43.85</v>
      </c>
      <c r="AQ119">
        <v>40.75</v>
      </c>
      <c r="AR119">
        <v>152</v>
      </c>
      <c r="AS119" t="s">
        <v>49</v>
      </c>
      <c r="AT119" t="s">
        <v>315</v>
      </c>
      <c r="AU119" t="s">
        <v>316</v>
      </c>
      <c r="AV119" t="s">
        <v>47</v>
      </c>
      <c r="AW119" t="s">
        <v>326</v>
      </c>
      <c r="AX119" t="s">
        <v>323</v>
      </c>
      <c r="AY119">
        <v>8.3000000000000004E-2</v>
      </c>
      <c r="AZ119">
        <v>12.989000000000001</v>
      </c>
      <c r="BA119">
        <v>0.94671000000000005</v>
      </c>
      <c r="BB119">
        <v>2.1504099999999999</v>
      </c>
      <c r="BC119">
        <v>4.9800000000000004</v>
      </c>
      <c r="BD119">
        <v>3.73601426949894</v>
      </c>
      <c r="BE119" t="s">
        <v>319</v>
      </c>
      <c r="BF119" t="s">
        <v>324</v>
      </c>
    </row>
    <row r="120" spans="1:58" customFormat="1" x14ac:dyDescent="0.35">
      <c r="A120">
        <v>12</v>
      </c>
      <c r="B120">
        <v>14</v>
      </c>
      <c r="C120">
        <v>13</v>
      </c>
      <c r="D120">
        <v>12</v>
      </c>
      <c r="E120">
        <v>14</v>
      </c>
      <c r="F120">
        <v>14</v>
      </c>
      <c r="G120">
        <v>14</v>
      </c>
      <c r="H120">
        <v>12</v>
      </c>
      <c r="I120">
        <v>12</v>
      </c>
      <c r="J120">
        <v>12</v>
      </c>
      <c r="K120">
        <v>16</v>
      </c>
      <c r="L120">
        <v>13</v>
      </c>
      <c r="M120">
        <v>13</v>
      </c>
      <c r="N120">
        <v>13</v>
      </c>
      <c r="O120">
        <v>11</v>
      </c>
      <c r="P120">
        <v>12</v>
      </c>
      <c r="Q120">
        <v>13</v>
      </c>
      <c r="R120">
        <v>13</v>
      </c>
      <c r="S120">
        <v>13</v>
      </c>
      <c r="T120">
        <v>14</v>
      </c>
      <c r="U120">
        <v>16</v>
      </c>
      <c r="V120">
        <f>MAX(A120:U120)</f>
        <v>16</v>
      </c>
      <c r="W120" s="4" t="s">
        <v>194</v>
      </c>
      <c r="X120">
        <v>0.58259163503369382</v>
      </c>
      <c r="Y120">
        <v>1.55</v>
      </c>
      <c r="Z120">
        <v>24</v>
      </c>
      <c r="AA120">
        <v>72.2</v>
      </c>
      <c r="AB120">
        <v>68</v>
      </c>
      <c r="AC120">
        <v>30.2</v>
      </c>
      <c r="AD120">
        <v>14</v>
      </c>
      <c r="AE120">
        <v>1586</v>
      </c>
      <c r="AF120">
        <v>26.9</v>
      </c>
      <c r="AG120">
        <v>33.9</v>
      </c>
      <c r="AH120">
        <v>19.3</v>
      </c>
      <c r="AI120">
        <v>44.4</v>
      </c>
      <c r="AJ120">
        <v>20.7</v>
      </c>
      <c r="AK120">
        <v>26.7</v>
      </c>
      <c r="AL120">
        <v>18.600000000000001</v>
      </c>
      <c r="AM120">
        <v>27.3</v>
      </c>
      <c r="AN120">
        <v>25.6</v>
      </c>
      <c r="AO120">
        <v>40.549999999999997</v>
      </c>
      <c r="AP120">
        <v>45</v>
      </c>
      <c r="AQ120">
        <v>46.05</v>
      </c>
      <c r="AR120">
        <v>168</v>
      </c>
      <c r="AS120" t="s">
        <v>46</v>
      </c>
      <c r="AT120" t="s">
        <v>315</v>
      </c>
      <c r="AU120" t="s">
        <v>321</v>
      </c>
      <c r="AV120" t="s">
        <v>52</v>
      </c>
      <c r="AW120" t="s">
        <v>326</v>
      </c>
      <c r="AX120" t="s">
        <v>318</v>
      </c>
      <c r="AY120">
        <v>2E-3</v>
      </c>
      <c r="AZ120">
        <v>12.765000000000001</v>
      </c>
      <c r="BA120">
        <v>3.227E-2</v>
      </c>
      <c r="BB120">
        <v>1.2251399999999999</v>
      </c>
      <c r="BC120">
        <v>0.12</v>
      </c>
      <c r="BD120">
        <v>0.43781417220690699</v>
      </c>
      <c r="BE120" t="s">
        <v>319</v>
      </c>
      <c r="BF120" t="s">
        <v>320</v>
      </c>
    </row>
    <row r="121" spans="1:58" customFormat="1" x14ac:dyDescent="0.35">
      <c r="A121">
        <v>10</v>
      </c>
      <c r="B121">
        <v>11</v>
      </c>
      <c r="C121">
        <v>11</v>
      </c>
      <c r="D121">
        <v>12</v>
      </c>
      <c r="E121">
        <v>14</v>
      </c>
      <c r="F121">
        <v>14</v>
      </c>
      <c r="G121">
        <v>15</v>
      </c>
      <c r="H121">
        <v>10</v>
      </c>
      <c r="I121">
        <v>10</v>
      </c>
      <c r="J121">
        <v>12</v>
      </c>
      <c r="K121">
        <v>14</v>
      </c>
      <c r="L121">
        <v>14</v>
      </c>
      <c r="M121">
        <v>14</v>
      </c>
      <c r="N121">
        <v>14</v>
      </c>
      <c r="O121">
        <v>10</v>
      </c>
      <c r="P121">
        <v>10</v>
      </c>
      <c r="Q121">
        <v>12</v>
      </c>
      <c r="R121">
        <v>14</v>
      </c>
      <c r="S121">
        <v>14</v>
      </c>
      <c r="T121">
        <v>14</v>
      </c>
      <c r="U121">
        <v>14</v>
      </c>
      <c r="V121">
        <f>MAX(A121:U121)</f>
        <v>15</v>
      </c>
      <c r="W121" s="4" t="s">
        <v>195</v>
      </c>
      <c r="X121">
        <v>0.27878960764312571</v>
      </c>
      <c r="Y121">
        <v>3.11</v>
      </c>
      <c r="Z121">
        <v>27</v>
      </c>
      <c r="AA121">
        <v>71.2</v>
      </c>
      <c r="AB121">
        <v>62</v>
      </c>
      <c r="AC121">
        <v>23.2</v>
      </c>
      <c r="AD121">
        <v>10.5</v>
      </c>
      <c r="AE121">
        <v>1613</v>
      </c>
      <c r="AF121">
        <v>30.7</v>
      </c>
      <c r="AG121">
        <v>36.200000000000003</v>
      </c>
      <c r="AH121">
        <v>24.2</v>
      </c>
      <c r="AI121">
        <v>48.1</v>
      </c>
      <c r="AJ121">
        <v>16.100000000000001</v>
      </c>
      <c r="AK121">
        <v>20.100000000000001</v>
      </c>
      <c r="AL121">
        <v>14.4</v>
      </c>
      <c r="AM121">
        <v>20.100000000000001</v>
      </c>
      <c r="AN121">
        <v>24.1</v>
      </c>
      <c r="AO121">
        <v>39.200000000000003</v>
      </c>
      <c r="AP121">
        <v>46.55</v>
      </c>
      <c r="AQ121">
        <v>49.3</v>
      </c>
      <c r="AR121">
        <v>172</v>
      </c>
      <c r="AS121" t="s">
        <v>46</v>
      </c>
      <c r="AT121" t="s">
        <v>327</v>
      </c>
      <c r="AU121" t="s">
        <v>322</v>
      </c>
      <c r="AV121" t="s">
        <v>47</v>
      </c>
      <c r="AW121" t="s">
        <v>326</v>
      </c>
      <c r="AX121" t="s">
        <v>318</v>
      </c>
      <c r="AY121">
        <v>6.0000000000000001E-3</v>
      </c>
      <c r="AZ121">
        <v>11.435</v>
      </c>
      <c r="BA121">
        <v>0.13395000000000001</v>
      </c>
      <c r="BB121">
        <v>1.6402600000000001</v>
      </c>
      <c r="BC121">
        <v>0.36</v>
      </c>
      <c r="BD121">
        <v>0.68493594940813995</v>
      </c>
      <c r="BE121" t="s">
        <v>319</v>
      </c>
      <c r="BF121" t="s">
        <v>320</v>
      </c>
    </row>
    <row r="122" spans="1:58" customFormat="1" x14ac:dyDescent="0.35">
      <c r="A122">
        <v>10</v>
      </c>
      <c r="B122">
        <v>10</v>
      </c>
      <c r="C122">
        <v>26</v>
      </c>
      <c r="D122">
        <v>21</v>
      </c>
      <c r="E122">
        <v>26</v>
      </c>
      <c r="F122">
        <v>26</v>
      </c>
      <c r="G122">
        <v>24</v>
      </c>
      <c r="H122">
        <v>10</v>
      </c>
      <c r="I122">
        <v>12</v>
      </c>
      <c r="J122">
        <v>16</v>
      </c>
      <c r="K122">
        <v>22</v>
      </c>
      <c r="L122">
        <v>28</v>
      </c>
      <c r="M122">
        <v>24</v>
      </c>
      <c r="N122">
        <v>20</v>
      </c>
      <c r="O122">
        <v>12</v>
      </c>
      <c r="P122">
        <v>18</v>
      </c>
      <c r="Q122">
        <v>22</v>
      </c>
      <c r="R122">
        <v>22</v>
      </c>
      <c r="S122">
        <v>24</v>
      </c>
      <c r="T122">
        <v>22</v>
      </c>
      <c r="U122">
        <v>22</v>
      </c>
      <c r="V122">
        <f>MAX(A122:U122)</f>
        <v>28</v>
      </c>
      <c r="W122" s="4" t="s">
        <v>196</v>
      </c>
      <c r="X122">
        <v>7.144355089423568E-2</v>
      </c>
      <c r="Y122">
        <v>32.79</v>
      </c>
      <c r="Z122">
        <v>32</v>
      </c>
      <c r="AA122">
        <v>50</v>
      </c>
      <c r="AB122">
        <v>61</v>
      </c>
      <c r="AC122">
        <v>32.700000000000003</v>
      </c>
      <c r="AD122">
        <v>3.5</v>
      </c>
      <c r="AE122">
        <v>1102</v>
      </c>
      <c r="AF122">
        <v>23.4</v>
      </c>
      <c r="AG122">
        <v>26.9</v>
      </c>
      <c r="AH122">
        <v>18.2</v>
      </c>
      <c r="AI122">
        <v>35</v>
      </c>
      <c r="AJ122">
        <v>25</v>
      </c>
      <c r="AK122">
        <v>43.4</v>
      </c>
      <c r="AL122">
        <v>22.4</v>
      </c>
      <c r="AM122">
        <v>34.4</v>
      </c>
      <c r="AN122">
        <v>19.8</v>
      </c>
      <c r="AO122">
        <v>40.299999999999997</v>
      </c>
      <c r="AP122">
        <v>44.9</v>
      </c>
      <c r="AQ122">
        <v>46.1</v>
      </c>
      <c r="AR122">
        <v>159</v>
      </c>
      <c r="AS122" t="s">
        <v>49</v>
      </c>
      <c r="AT122" t="s">
        <v>315</v>
      </c>
      <c r="AU122" t="s">
        <v>322</v>
      </c>
      <c r="AV122" t="s">
        <v>47</v>
      </c>
      <c r="AW122" t="s">
        <v>326</v>
      </c>
      <c r="AX122" t="s">
        <v>323</v>
      </c>
      <c r="AY122">
        <v>1.4E-2</v>
      </c>
      <c r="AZ122">
        <v>17.309999999999999</v>
      </c>
      <c r="BA122">
        <v>6.9500000000000006E-2</v>
      </c>
      <c r="BB122">
        <v>5.5236200000000002</v>
      </c>
      <c r="BC122">
        <v>0.84</v>
      </c>
      <c r="BD122">
        <v>2.1365331603697002</v>
      </c>
      <c r="BE122" t="s">
        <v>319</v>
      </c>
      <c r="BF122" t="s">
        <v>320</v>
      </c>
    </row>
    <row r="123" spans="1:58" customFormat="1" x14ac:dyDescent="0.35">
      <c r="A123">
        <v>15</v>
      </c>
      <c r="B123">
        <v>19</v>
      </c>
      <c r="C123">
        <v>27</v>
      </c>
      <c r="D123">
        <v>30</v>
      </c>
      <c r="E123">
        <v>28</v>
      </c>
      <c r="F123">
        <v>31</v>
      </c>
      <c r="G123">
        <v>31</v>
      </c>
      <c r="H123">
        <v>23</v>
      </c>
      <c r="I123">
        <v>31</v>
      </c>
      <c r="J123">
        <v>31</v>
      </c>
      <c r="K123">
        <v>32</v>
      </c>
      <c r="L123">
        <v>32</v>
      </c>
      <c r="M123">
        <v>35</v>
      </c>
      <c r="N123">
        <v>36</v>
      </c>
      <c r="O123">
        <v>26</v>
      </c>
      <c r="P123">
        <v>34</v>
      </c>
      <c r="Q123">
        <v>35</v>
      </c>
      <c r="R123">
        <v>37</v>
      </c>
      <c r="S123">
        <v>43</v>
      </c>
      <c r="T123">
        <v>43</v>
      </c>
      <c r="U123">
        <v>43</v>
      </c>
      <c r="V123">
        <f>MAX(A123:U123)</f>
        <v>43</v>
      </c>
      <c r="W123" s="4" t="s">
        <v>197</v>
      </c>
      <c r="X123">
        <v>4.3021634149683656E-3</v>
      </c>
      <c r="Y123">
        <v>49.77</v>
      </c>
      <c r="Z123">
        <v>19</v>
      </c>
      <c r="AA123">
        <v>97.1</v>
      </c>
      <c r="AB123">
        <v>56</v>
      </c>
      <c r="AC123">
        <v>34</v>
      </c>
      <c r="AD123">
        <v>25</v>
      </c>
      <c r="AE123">
        <v>1957</v>
      </c>
      <c r="AF123">
        <v>26.8</v>
      </c>
      <c r="AG123">
        <v>32.700000000000003</v>
      </c>
      <c r="AH123">
        <v>18.100000000000001</v>
      </c>
      <c r="AI123">
        <v>44.3</v>
      </c>
      <c r="AJ123">
        <v>24.4</v>
      </c>
      <c r="AK123">
        <v>30.8</v>
      </c>
      <c r="AL123">
        <v>22.9</v>
      </c>
      <c r="AM123">
        <v>31.7</v>
      </c>
      <c r="AN123">
        <v>34</v>
      </c>
      <c r="AO123">
        <v>41.9</v>
      </c>
      <c r="AP123">
        <v>49.05</v>
      </c>
      <c r="AQ123">
        <v>43.35</v>
      </c>
      <c r="AR123">
        <v>169</v>
      </c>
      <c r="AS123" t="s">
        <v>46</v>
      </c>
      <c r="AT123" t="s">
        <v>315</v>
      </c>
      <c r="AU123" t="s">
        <v>322</v>
      </c>
      <c r="AV123" t="s">
        <v>52</v>
      </c>
      <c r="AW123" t="s">
        <v>326</v>
      </c>
      <c r="AX123" t="s">
        <v>318</v>
      </c>
      <c r="AY123">
        <v>5.5E-2</v>
      </c>
      <c r="AZ123">
        <v>21.29</v>
      </c>
      <c r="BA123">
        <v>0.73884000000000005</v>
      </c>
      <c r="BB123">
        <v>3.6053600000000001</v>
      </c>
      <c r="BC123">
        <v>3.3</v>
      </c>
      <c r="BD123">
        <v>3.9403275498621602</v>
      </c>
      <c r="BE123" t="s">
        <v>319</v>
      </c>
      <c r="BF123" t="s">
        <v>324</v>
      </c>
    </row>
    <row r="124" spans="1:58" customFormat="1" x14ac:dyDescent="0.35">
      <c r="A124">
        <v>11</v>
      </c>
      <c r="B124">
        <v>17</v>
      </c>
      <c r="C124">
        <v>16</v>
      </c>
      <c r="D124">
        <v>23</v>
      </c>
      <c r="E124">
        <v>25</v>
      </c>
      <c r="F124">
        <v>29</v>
      </c>
      <c r="G124">
        <v>27</v>
      </c>
      <c r="H124">
        <v>26</v>
      </c>
      <c r="I124">
        <v>29</v>
      </c>
      <c r="J124">
        <v>29</v>
      </c>
      <c r="K124">
        <v>26</v>
      </c>
      <c r="L124">
        <v>25</v>
      </c>
      <c r="M124">
        <v>27</v>
      </c>
      <c r="N124">
        <v>25</v>
      </c>
      <c r="O124">
        <v>23</v>
      </c>
      <c r="P124">
        <v>24</v>
      </c>
      <c r="Q124">
        <v>26</v>
      </c>
      <c r="R124">
        <v>27</v>
      </c>
      <c r="S124">
        <v>27</v>
      </c>
      <c r="T124">
        <v>33</v>
      </c>
      <c r="U124">
        <v>31</v>
      </c>
      <c r="V124">
        <f>MAX(A124:U124)</f>
        <v>33</v>
      </c>
      <c r="W124" s="4" t="s">
        <v>198</v>
      </c>
      <c r="X124">
        <v>5.6746455868404832E-3</v>
      </c>
      <c r="Y124">
        <v>24.62</v>
      </c>
      <c r="Z124">
        <v>18</v>
      </c>
      <c r="AA124">
        <v>83</v>
      </c>
      <c r="AB124">
        <v>58</v>
      </c>
      <c r="AC124">
        <v>37.6</v>
      </c>
      <c r="AD124">
        <v>10</v>
      </c>
      <c r="AE124">
        <v>1590</v>
      </c>
      <c r="AF124">
        <v>23.9</v>
      </c>
      <c r="AG124">
        <v>20.3</v>
      </c>
      <c r="AH124">
        <v>16.3</v>
      </c>
      <c r="AI124">
        <v>37.700000000000003</v>
      </c>
      <c r="AJ124">
        <v>33.5</v>
      </c>
      <c r="AK124">
        <v>49.1</v>
      </c>
      <c r="AL124">
        <v>29.7</v>
      </c>
      <c r="AM124">
        <v>43.7</v>
      </c>
      <c r="AN124">
        <v>28.1</v>
      </c>
      <c r="AO124">
        <v>44.35</v>
      </c>
      <c r="AP124">
        <v>49.4</v>
      </c>
      <c r="AQ124">
        <v>45.9</v>
      </c>
      <c r="AR124">
        <v>172</v>
      </c>
      <c r="AS124" t="s">
        <v>49</v>
      </c>
      <c r="AT124" t="s">
        <v>315</v>
      </c>
      <c r="AU124" t="s">
        <v>316</v>
      </c>
      <c r="AV124" t="s">
        <v>52</v>
      </c>
      <c r="AW124" t="s">
        <v>326</v>
      </c>
      <c r="AX124" t="s">
        <v>318</v>
      </c>
      <c r="AY124">
        <v>0.03</v>
      </c>
      <c r="AZ124">
        <v>19.45</v>
      </c>
      <c r="BA124">
        <v>0.44685000000000002</v>
      </c>
      <c r="BB124">
        <v>3.69008</v>
      </c>
      <c r="BC124">
        <v>1.7999999999999901</v>
      </c>
      <c r="BD124">
        <v>0.69271931246959595</v>
      </c>
      <c r="BE124" t="s">
        <v>319</v>
      </c>
      <c r="BF124" t="s">
        <v>320</v>
      </c>
    </row>
    <row r="125" spans="1:58" customFormat="1" x14ac:dyDescent="0.35">
      <c r="A125">
        <v>10</v>
      </c>
      <c r="B125">
        <v>10</v>
      </c>
      <c r="C125">
        <v>10</v>
      </c>
      <c r="D125">
        <v>11</v>
      </c>
      <c r="E125">
        <v>11</v>
      </c>
      <c r="F125">
        <v>13</v>
      </c>
      <c r="G125">
        <v>13</v>
      </c>
      <c r="H125">
        <v>10</v>
      </c>
      <c r="I125">
        <v>10</v>
      </c>
      <c r="J125">
        <v>10</v>
      </c>
      <c r="K125">
        <v>14</v>
      </c>
      <c r="L125">
        <v>14</v>
      </c>
      <c r="M125">
        <v>14</v>
      </c>
      <c r="N125">
        <v>15</v>
      </c>
      <c r="O125">
        <v>10</v>
      </c>
      <c r="P125">
        <v>12</v>
      </c>
      <c r="Q125">
        <v>13</v>
      </c>
      <c r="R125">
        <v>16</v>
      </c>
      <c r="S125">
        <v>17</v>
      </c>
      <c r="T125">
        <v>18</v>
      </c>
      <c r="U125">
        <v>18</v>
      </c>
      <c r="V125">
        <f>MAX(A125:U125)</f>
        <v>18</v>
      </c>
      <c r="W125" s="4" t="s">
        <v>199</v>
      </c>
      <c r="X125">
        <v>1.1500938355594801E-6</v>
      </c>
      <c r="Y125">
        <v>7.3</v>
      </c>
      <c r="Z125">
        <v>17</v>
      </c>
      <c r="AA125">
        <v>56.7</v>
      </c>
      <c r="AB125">
        <v>60</v>
      </c>
      <c r="AC125">
        <v>30.5</v>
      </c>
      <c r="AD125">
        <v>3.5</v>
      </c>
      <c r="AE125">
        <v>1218</v>
      </c>
      <c r="AF125">
        <v>25.3</v>
      </c>
      <c r="AG125">
        <v>27.6</v>
      </c>
      <c r="AH125">
        <v>19.3</v>
      </c>
      <c r="AI125">
        <v>38.700000000000003</v>
      </c>
      <c r="AJ125">
        <v>25</v>
      </c>
      <c r="AK125">
        <v>40.6</v>
      </c>
      <c r="AL125">
        <v>21.6</v>
      </c>
      <c r="AM125">
        <v>33.4</v>
      </c>
      <c r="AN125">
        <v>21.3</v>
      </c>
      <c r="AO125">
        <v>41.4</v>
      </c>
      <c r="AP125">
        <v>46.55</v>
      </c>
      <c r="AQ125">
        <v>43.9</v>
      </c>
      <c r="AR125">
        <v>163</v>
      </c>
      <c r="AS125" t="s">
        <v>49</v>
      </c>
      <c r="AT125" t="s">
        <v>315</v>
      </c>
      <c r="AU125" t="s">
        <v>321</v>
      </c>
      <c r="AV125" t="s">
        <v>47</v>
      </c>
      <c r="AW125" t="s">
        <v>326</v>
      </c>
      <c r="AX125" t="s">
        <v>323</v>
      </c>
      <c r="AY125">
        <v>1.9E-2</v>
      </c>
      <c r="AZ125">
        <v>9.2100000000000009</v>
      </c>
      <c r="BA125">
        <v>0.62343999999999999</v>
      </c>
      <c r="BB125">
        <v>1.6576500000000001</v>
      </c>
      <c r="BC125">
        <v>1.1399999999999999</v>
      </c>
      <c r="BD125">
        <v>1.8699529755148301</v>
      </c>
      <c r="BE125" t="s">
        <v>319</v>
      </c>
      <c r="BF125" t="s">
        <v>320</v>
      </c>
    </row>
    <row r="126" spans="1:58" customFormat="1" x14ac:dyDescent="0.35">
      <c r="A126">
        <v>10</v>
      </c>
      <c r="B126">
        <v>14</v>
      </c>
      <c r="C126">
        <v>12</v>
      </c>
      <c r="D126">
        <v>12</v>
      </c>
      <c r="E126">
        <v>13</v>
      </c>
      <c r="F126">
        <v>13</v>
      </c>
      <c r="G126">
        <v>13</v>
      </c>
      <c r="H126">
        <v>11</v>
      </c>
      <c r="I126">
        <v>11</v>
      </c>
      <c r="J126">
        <v>13</v>
      </c>
      <c r="K126">
        <v>13</v>
      </c>
      <c r="L126">
        <v>13</v>
      </c>
      <c r="M126">
        <v>13</v>
      </c>
      <c r="N126">
        <v>13</v>
      </c>
      <c r="O126">
        <v>11</v>
      </c>
      <c r="P126">
        <v>13</v>
      </c>
      <c r="Q126">
        <v>17</v>
      </c>
      <c r="R126">
        <v>17</v>
      </c>
      <c r="S126">
        <v>19</v>
      </c>
      <c r="T126">
        <v>19</v>
      </c>
      <c r="U126">
        <v>19</v>
      </c>
      <c r="V126">
        <f>MAX(A126:U126)</f>
        <v>19</v>
      </c>
      <c r="W126" s="4" t="s">
        <v>200</v>
      </c>
      <c r="X126">
        <v>0.2295298131022761</v>
      </c>
      <c r="Y126">
        <v>7.23</v>
      </c>
      <c r="Z126">
        <v>24</v>
      </c>
      <c r="AA126">
        <v>52.1</v>
      </c>
      <c r="AB126">
        <v>68</v>
      </c>
      <c r="AC126">
        <v>33.9</v>
      </c>
      <c r="AD126">
        <v>4</v>
      </c>
      <c r="AE126">
        <v>1130</v>
      </c>
      <c r="AF126">
        <v>23</v>
      </c>
      <c r="AG126">
        <v>25.9</v>
      </c>
      <c r="AH126">
        <v>17.399999999999999</v>
      </c>
      <c r="AI126">
        <v>34.700000000000003</v>
      </c>
      <c r="AJ126">
        <v>25.8</v>
      </c>
      <c r="AK126">
        <v>44.4</v>
      </c>
      <c r="AL126">
        <v>23.3</v>
      </c>
      <c r="AM126">
        <v>34.9</v>
      </c>
      <c r="AN126">
        <v>20.100000000000001</v>
      </c>
      <c r="AO126">
        <v>37.9</v>
      </c>
      <c r="AP126">
        <v>45.4</v>
      </c>
      <c r="AQ126">
        <v>43.35</v>
      </c>
      <c r="AR126">
        <v>161</v>
      </c>
      <c r="AS126" t="s">
        <v>49</v>
      </c>
      <c r="AT126" t="s">
        <v>315</v>
      </c>
      <c r="AU126" t="s">
        <v>321</v>
      </c>
      <c r="AV126" t="s">
        <v>47</v>
      </c>
      <c r="AW126" t="s">
        <v>326</v>
      </c>
      <c r="AX126" t="s">
        <v>323</v>
      </c>
      <c r="AY126">
        <v>1.7999999999999999E-2</v>
      </c>
      <c r="AZ126">
        <v>10.375</v>
      </c>
      <c r="BA126">
        <v>0.55715999999999999</v>
      </c>
      <c r="BB126">
        <v>1.78921</v>
      </c>
      <c r="BC126">
        <v>1.0799999999999901</v>
      </c>
      <c r="BD126">
        <v>2.1092913896546102</v>
      </c>
      <c r="BE126" t="s">
        <v>319</v>
      </c>
      <c r="BF126" t="s">
        <v>320</v>
      </c>
    </row>
    <row r="127" spans="1:58" customFormat="1" x14ac:dyDescent="0.35">
      <c r="A127">
        <v>10</v>
      </c>
      <c r="B127">
        <v>10</v>
      </c>
      <c r="C127">
        <v>10</v>
      </c>
      <c r="D127">
        <v>10</v>
      </c>
      <c r="E127">
        <v>10</v>
      </c>
      <c r="F127">
        <v>10</v>
      </c>
      <c r="G127">
        <v>10</v>
      </c>
      <c r="H127">
        <v>10</v>
      </c>
      <c r="I127">
        <v>10</v>
      </c>
      <c r="J127">
        <v>10</v>
      </c>
      <c r="K127">
        <v>10</v>
      </c>
      <c r="L127">
        <v>11</v>
      </c>
      <c r="M127">
        <v>11</v>
      </c>
      <c r="N127">
        <v>11</v>
      </c>
      <c r="O127">
        <v>11</v>
      </c>
      <c r="P127">
        <v>13</v>
      </c>
      <c r="Q127">
        <v>13</v>
      </c>
      <c r="R127">
        <v>11</v>
      </c>
      <c r="S127">
        <v>11</v>
      </c>
      <c r="T127">
        <v>11</v>
      </c>
      <c r="U127">
        <v>13</v>
      </c>
      <c r="V127">
        <f>MAX(A127:U127)</f>
        <v>13</v>
      </c>
      <c r="W127" s="4" t="s">
        <v>201</v>
      </c>
      <c r="X127">
        <v>0.1556938701726279</v>
      </c>
      <c r="Y127">
        <v>1.04</v>
      </c>
      <c r="Z127">
        <v>20</v>
      </c>
      <c r="AA127">
        <v>48.1</v>
      </c>
      <c r="AB127">
        <v>60</v>
      </c>
      <c r="AC127">
        <v>30.8</v>
      </c>
      <c r="AD127">
        <v>3.5</v>
      </c>
      <c r="AE127">
        <v>1079</v>
      </c>
      <c r="AF127">
        <v>23.9</v>
      </c>
      <c r="AG127">
        <v>27.8</v>
      </c>
      <c r="AH127">
        <v>18.600000000000001</v>
      </c>
      <c r="AI127">
        <v>35.6</v>
      </c>
      <c r="AJ127">
        <v>24.2</v>
      </c>
      <c r="AK127">
        <v>41</v>
      </c>
      <c r="AL127">
        <v>21.2</v>
      </c>
      <c r="AM127">
        <v>32.799999999999997</v>
      </c>
      <c r="AN127">
        <v>20</v>
      </c>
      <c r="AO127">
        <v>38.200000000000003</v>
      </c>
      <c r="AP127">
        <v>45.75</v>
      </c>
      <c r="AQ127">
        <v>40.75</v>
      </c>
      <c r="AR127">
        <v>155</v>
      </c>
      <c r="AS127" t="s">
        <v>49</v>
      </c>
      <c r="AT127">
        <v>0</v>
      </c>
      <c r="AU127" t="s">
        <v>321</v>
      </c>
      <c r="AV127" t="s">
        <v>47</v>
      </c>
      <c r="AW127" t="s">
        <v>326</v>
      </c>
      <c r="AX127" t="s">
        <v>323</v>
      </c>
      <c r="AY127">
        <v>7.0000000000000001E-3</v>
      </c>
      <c r="AZ127">
        <v>9.4830000000000005</v>
      </c>
      <c r="BA127">
        <v>0.55327999999999999</v>
      </c>
      <c r="BB127">
        <v>0.68113999999999997</v>
      </c>
      <c r="BC127">
        <v>0.42</v>
      </c>
      <c r="BD127">
        <v>0.57986054807848197</v>
      </c>
      <c r="BE127" t="s">
        <v>319</v>
      </c>
      <c r="BF127" t="s">
        <v>320</v>
      </c>
    </row>
    <row r="128" spans="1:58" customFormat="1" x14ac:dyDescent="0.35">
      <c r="A128">
        <v>10</v>
      </c>
      <c r="B128">
        <v>10</v>
      </c>
      <c r="C128">
        <v>10</v>
      </c>
      <c r="D128">
        <v>10</v>
      </c>
      <c r="E128">
        <v>10</v>
      </c>
      <c r="F128">
        <v>10</v>
      </c>
      <c r="G128">
        <v>10</v>
      </c>
      <c r="H128">
        <v>10</v>
      </c>
      <c r="I128">
        <v>10</v>
      </c>
      <c r="J128">
        <v>10</v>
      </c>
      <c r="K128">
        <v>10</v>
      </c>
      <c r="L128">
        <v>10</v>
      </c>
      <c r="M128">
        <v>10</v>
      </c>
      <c r="N128">
        <v>10</v>
      </c>
      <c r="O128">
        <v>10</v>
      </c>
      <c r="P128">
        <v>10</v>
      </c>
      <c r="Q128">
        <v>10</v>
      </c>
      <c r="R128">
        <v>10</v>
      </c>
      <c r="S128">
        <v>10</v>
      </c>
      <c r="T128">
        <v>10</v>
      </c>
      <c r="U128">
        <v>10</v>
      </c>
      <c r="V128">
        <f>MAX(A128:U128)</f>
        <v>10</v>
      </c>
      <c r="W128" s="4" t="s">
        <v>202</v>
      </c>
      <c r="Y128">
        <v>0</v>
      </c>
      <c r="Z128">
        <v>12</v>
      </c>
      <c r="AA128">
        <v>67.2</v>
      </c>
      <c r="AB128">
        <v>60</v>
      </c>
      <c r="AC128">
        <v>27.2</v>
      </c>
      <c r="AD128">
        <v>8.5</v>
      </c>
      <c r="AE128">
        <v>1530</v>
      </c>
      <c r="AF128">
        <v>29.2</v>
      </c>
      <c r="AG128">
        <v>35.799999999999997</v>
      </c>
      <c r="AH128">
        <v>21.9</v>
      </c>
      <c r="AI128">
        <v>46.7</v>
      </c>
      <c r="AJ128">
        <v>18.3</v>
      </c>
      <c r="AK128">
        <v>24.6</v>
      </c>
      <c r="AL128">
        <v>16.100000000000001</v>
      </c>
      <c r="AM128">
        <v>24.9</v>
      </c>
      <c r="AN128">
        <v>22.2</v>
      </c>
      <c r="AO128">
        <v>35.6</v>
      </c>
      <c r="AP128">
        <v>46.65</v>
      </c>
      <c r="AQ128">
        <v>49</v>
      </c>
      <c r="AR128">
        <v>174</v>
      </c>
      <c r="AS128" t="s">
        <v>46</v>
      </c>
      <c r="AT128" t="s">
        <v>327</v>
      </c>
      <c r="AU128" t="s">
        <v>321</v>
      </c>
      <c r="AV128" t="s">
        <v>47</v>
      </c>
      <c r="AW128" t="s">
        <v>326</v>
      </c>
      <c r="AX128" t="s">
        <v>318</v>
      </c>
      <c r="AY128">
        <v>0</v>
      </c>
      <c r="AZ128">
        <v>10</v>
      </c>
      <c r="BA128">
        <v>0</v>
      </c>
      <c r="BB128">
        <v>0</v>
      </c>
      <c r="BC128">
        <v>0</v>
      </c>
      <c r="BD128">
        <v>0</v>
      </c>
      <c r="BE128" t="s">
        <v>328</v>
      </c>
      <c r="BF128" t="s">
        <v>320</v>
      </c>
    </row>
    <row r="129" spans="1:58" customFormat="1" x14ac:dyDescent="0.35">
      <c r="A129">
        <v>10</v>
      </c>
      <c r="B129">
        <v>10</v>
      </c>
      <c r="C129">
        <v>10</v>
      </c>
      <c r="D129">
        <v>10</v>
      </c>
      <c r="E129">
        <v>10</v>
      </c>
      <c r="F129">
        <v>10</v>
      </c>
      <c r="G129">
        <v>10</v>
      </c>
      <c r="H129">
        <v>10</v>
      </c>
      <c r="I129">
        <v>10</v>
      </c>
      <c r="J129">
        <v>10</v>
      </c>
      <c r="K129">
        <v>10</v>
      </c>
      <c r="L129">
        <v>10</v>
      </c>
      <c r="M129">
        <v>10</v>
      </c>
      <c r="N129">
        <v>10</v>
      </c>
      <c r="O129">
        <v>10</v>
      </c>
      <c r="P129">
        <v>10</v>
      </c>
      <c r="Q129">
        <v>10</v>
      </c>
      <c r="R129">
        <v>10</v>
      </c>
      <c r="S129">
        <v>12</v>
      </c>
      <c r="T129">
        <v>12</v>
      </c>
      <c r="U129">
        <v>12</v>
      </c>
      <c r="V129">
        <f>MAX(A129:U129)</f>
        <v>12</v>
      </c>
      <c r="W129" s="4" t="s">
        <v>203</v>
      </c>
      <c r="X129">
        <v>0.5770154930245347</v>
      </c>
      <c r="Y129">
        <v>0.49</v>
      </c>
      <c r="Z129">
        <v>24</v>
      </c>
      <c r="AA129">
        <v>40</v>
      </c>
      <c r="AB129">
        <v>64</v>
      </c>
      <c r="AC129">
        <v>30.6</v>
      </c>
      <c r="AD129">
        <v>0.5</v>
      </c>
      <c r="AE129">
        <v>956</v>
      </c>
      <c r="AF129">
        <v>23.8</v>
      </c>
      <c r="AG129">
        <v>29.5</v>
      </c>
      <c r="AH129">
        <v>19.100000000000001</v>
      </c>
      <c r="AI129">
        <v>33.4</v>
      </c>
      <c r="AJ129">
        <v>20.7</v>
      </c>
      <c r="AK129">
        <v>40.5</v>
      </c>
      <c r="AL129">
        <v>18.8</v>
      </c>
      <c r="AM129">
        <v>28.9</v>
      </c>
      <c r="AN129">
        <v>15.2</v>
      </c>
      <c r="AO129">
        <v>35</v>
      </c>
      <c r="AP129">
        <v>41.8</v>
      </c>
      <c r="AQ129">
        <v>45.1</v>
      </c>
      <c r="AR129">
        <v>162</v>
      </c>
      <c r="AS129" t="s">
        <v>49</v>
      </c>
      <c r="AT129" t="s">
        <v>315</v>
      </c>
      <c r="AU129" t="s">
        <v>321</v>
      </c>
      <c r="AV129" t="s">
        <v>47</v>
      </c>
      <c r="AW129" t="s">
        <v>326</v>
      </c>
      <c r="AX129" t="s">
        <v>323</v>
      </c>
      <c r="AY129">
        <v>4.0000000000000001E-3</v>
      </c>
      <c r="AZ129">
        <v>9.56</v>
      </c>
      <c r="BA129">
        <v>0.37759999999999999</v>
      </c>
      <c r="BB129">
        <v>0.55213000000000001</v>
      </c>
      <c r="BC129">
        <v>0.24</v>
      </c>
      <c r="BD129">
        <v>0.47867682827955199</v>
      </c>
      <c r="BE129" t="s">
        <v>319</v>
      </c>
      <c r="BF129" t="s">
        <v>320</v>
      </c>
    </row>
    <row r="130" spans="1:58" customFormat="1" x14ac:dyDescent="0.35">
      <c r="A130">
        <v>10</v>
      </c>
      <c r="B130">
        <v>10</v>
      </c>
      <c r="C130">
        <v>10</v>
      </c>
      <c r="D130">
        <v>10</v>
      </c>
      <c r="E130">
        <v>10</v>
      </c>
      <c r="F130">
        <v>10</v>
      </c>
      <c r="G130">
        <v>10</v>
      </c>
      <c r="H130">
        <v>10</v>
      </c>
      <c r="I130">
        <v>10</v>
      </c>
      <c r="J130">
        <v>10</v>
      </c>
      <c r="K130">
        <v>10</v>
      </c>
      <c r="L130">
        <v>10</v>
      </c>
      <c r="M130">
        <v>10</v>
      </c>
      <c r="N130">
        <v>10</v>
      </c>
      <c r="O130">
        <v>10</v>
      </c>
      <c r="P130">
        <v>10</v>
      </c>
      <c r="Q130">
        <v>10</v>
      </c>
      <c r="R130">
        <v>10</v>
      </c>
      <c r="S130">
        <v>10</v>
      </c>
      <c r="T130">
        <v>10</v>
      </c>
      <c r="U130">
        <v>23</v>
      </c>
      <c r="V130">
        <f>MAX(A130:U130)</f>
        <v>23</v>
      </c>
      <c r="W130" s="4" t="s">
        <v>204</v>
      </c>
      <c r="X130">
        <v>9.483297154160078E-2</v>
      </c>
      <c r="Y130">
        <v>7.66</v>
      </c>
      <c r="Z130">
        <v>26</v>
      </c>
      <c r="AA130">
        <v>63.1</v>
      </c>
      <c r="AB130">
        <v>65</v>
      </c>
      <c r="AC130">
        <v>36.9</v>
      </c>
      <c r="AD130">
        <v>7</v>
      </c>
      <c r="AE130">
        <v>1286</v>
      </c>
      <c r="AF130">
        <v>22.6</v>
      </c>
      <c r="AG130">
        <v>23.1</v>
      </c>
      <c r="AH130">
        <v>16.5</v>
      </c>
      <c r="AI130">
        <v>35</v>
      </c>
      <c r="AJ130">
        <v>29.9</v>
      </c>
      <c r="AK130">
        <v>48.4</v>
      </c>
      <c r="AL130">
        <v>27.1</v>
      </c>
      <c r="AM130">
        <v>40.5</v>
      </c>
      <c r="AN130">
        <v>23.7</v>
      </c>
      <c r="AO130">
        <v>41.95</v>
      </c>
      <c r="AP130">
        <v>48.4</v>
      </c>
      <c r="AQ130">
        <v>42.25</v>
      </c>
      <c r="AR130">
        <v>163</v>
      </c>
      <c r="AS130" t="s">
        <v>49</v>
      </c>
      <c r="AT130" t="s">
        <v>315</v>
      </c>
      <c r="AU130" t="s">
        <v>322</v>
      </c>
      <c r="AV130" t="s">
        <v>47</v>
      </c>
      <c r="AW130" t="s">
        <v>326</v>
      </c>
      <c r="AX130" t="s">
        <v>323</v>
      </c>
      <c r="AY130">
        <v>0.01</v>
      </c>
      <c r="AZ130">
        <v>8.8559999999999999</v>
      </c>
      <c r="BA130">
        <v>0.14241000000000001</v>
      </c>
      <c r="BB130">
        <v>2.5637699999999999</v>
      </c>
      <c r="BC130">
        <v>0.6</v>
      </c>
      <c r="BD130">
        <v>1.23950056753688</v>
      </c>
      <c r="BE130" t="s">
        <v>319</v>
      </c>
      <c r="BF130" t="s">
        <v>320</v>
      </c>
    </row>
    <row r="131" spans="1:58" customFormat="1" x14ac:dyDescent="0.35">
      <c r="A131">
        <v>10</v>
      </c>
      <c r="B131">
        <v>10</v>
      </c>
      <c r="C131">
        <v>11</v>
      </c>
      <c r="D131">
        <v>10</v>
      </c>
      <c r="E131">
        <v>10</v>
      </c>
      <c r="F131">
        <v>14</v>
      </c>
      <c r="G131">
        <v>16</v>
      </c>
      <c r="H131">
        <v>12</v>
      </c>
      <c r="I131">
        <v>12</v>
      </c>
      <c r="J131">
        <v>12</v>
      </c>
      <c r="K131">
        <v>14</v>
      </c>
      <c r="L131">
        <v>20</v>
      </c>
      <c r="M131">
        <v>18</v>
      </c>
      <c r="N131">
        <v>18</v>
      </c>
      <c r="O131">
        <v>14</v>
      </c>
      <c r="P131">
        <v>16</v>
      </c>
      <c r="Q131">
        <v>18</v>
      </c>
      <c r="R131">
        <v>18</v>
      </c>
      <c r="S131">
        <v>20</v>
      </c>
      <c r="T131">
        <v>20</v>
      </c>
      <c r="U131">
        <v>20</v>
      </c>
      <c r="V131">
        <f>MAX(A131:U131)</f>
        <v>20</v>
      </c>
      <c r="W131" s="4" t="s">
        <v>205</v>
      </c>
      <c r="X131">
        <v>7.9820087808453683E-4</v>
      </c>
      <c r="Y131">
        <v>13.51</v>
      </c>
      <c r="Z131">
        <v>32</v>
      </c>
      <c r="AA131">
        <v>74.8</v>
      </c>
      <c r="AB131">
        <v>53</v>
      </c>
      <c r="AC131">
        <v>23.1</v>
      </c>
      <c r="AD131">
        <v>11</v>
      </c>
      <c r="AE131">
        <v>1677</v>
      </c>
      <c r="AF131">
        <v>31.6</v>
      </c>
      <c r="AG131">
        <v>36.200000000000003</v>
      </c>
      <c r="AH131">
        <v>24.9</v>
      </c>
      <c r="AI131">
        <v>48.9</v>
      </c>
      <c r="AJ131">
        <v>16.2</v>
      </c>
      <c r="AK131">
        <v>20.5</v>
      </c>
      <c r="AL131">
        <v>14.5</v>
      </c>
      <c r="AM131">
        <v>20.5</v>
      </c>
      <c r="AN131">
        <v>24.7</v>
      </c>
      <c r="AO131">
        <v>38.35</v>
      </c>
      <c r="AP131">
        <v>46.4</v>
      </c>
      <c r="AQ131">
        <v>48.85</v>
      </c>
      <c r="AR131">
        <v>174</v>
      </c>
      <c r="AS131" t="s">
        <v>46</v>
      </c>
      <c r="AT131" t="s">
        <v>315</v>
      </c>
      <c r="AU131" t="s">
        <v>316</v>
      </c>
      <c r="AV131" t="s">
        <v>47</v>
      </c>
      <c r="AW131" t="s">
        <v>326</v>
      </c>
      <c r="AX131" t="s">
        <v>318</v>
      </c>
      <c r="AY131">
        <v>0.03</v>
      </c>
      <c r="AZ131">
        <v>9.4469999999999992</v>
      </c>
      <c r="BA131">
        <v>0.77393000000000001</v>
      </c>
      <c r="BB131">
        <v>1.7479499999999999</v>
      </c>
      <c r="BC131">
        <v>1.7999999999999901</v>
      </c>
      <c r="BD131">
        <v>2.0003243067942198</v>
      </c>
      <c r="BE131" t="s">
        <v>319</v>
      </c>
      <c r="BF131" t="s">
        <v>320</v>
      </c>
    </row>
    <row r="132" spans="1:58" customFormat="1" x14ac:dyDescent="0.35">
      <c r="A132">
        <v>10</v>
      </c>
      <c r="B132">
        <v>10</v>
      </c>
      <c r="C132">
        <v>10</v>
      </c>
      <c r="D132">
        <v>10</v>
      </c>
      <c r="E132">
        <v>11</v>
      </c>
      <c r="F132">
        <v>14</v>
      </c>
      <c r="G132">
        <v>15</v>
      </c>
      <c r="H132">
        <v>10</v>
      </c>
      <c r="I132">
        <v>10</v>
      </c>
      <c r="J132">
        <v>10</v>
      </c>
      <c r="K132">
        <v>10</v>
      </c>
      <c r="L132">
        <v>10</v>
      </c>
      <c r="M132">
        <v>10</v>
      </c>
      <c r="N132">
        <v>15</v>
      </c>
      <c r="O132">
        <v>10</v>
      </c>
      <c r="P132">
        <v>10</v>
      </c>
      <c r="Q132">
        <v>10</v>
      </c>
      <c r="R132">
        <v>10</v>
      </c>
      <c r="S132">
        <v>15</v>
      </c>
      <c r="T132">
        <v>15</v>
      </c>
      <c r="U132">
        <v>21</v>
      </c>
      <c r="V132">
        <f>MAX(A132:U132)</f>
        <v>21</v>
      </c>
      <c r="W132" s="4" t="s">
        <v>206</v>
      </c>
      <c r="X132">
        <v>8.5654967599648441E-2</v>
      </c>
      <c r="Y132">
        <v>8.39</v>
      </c>
      <c r="Z132">
        <v>28</v>
      </c>
      <c r="AA132">
        <v>46.2</v>
      </c>
      <c r="AB132">
        <v>58</v>
      </c>
      <c r="AC132">
        <v>31.6</v>
      </c>
      <c r="AD132">
        <v>3.5</v>
      </c>
      <c r="AE132">
        <v>1046</v>
      </c>
      <c r="AF132">
        <v>23.2</v>
      </c>
      <c r="AG132">
        <v>27.4</v>
      </c>
      <c r="AH132">
        <v>18.100000000000001</v>
      </c>
      <c r="AI132">
        <v>35.1</v>
      </c>
      <c r="AJ132">
        <v>24.6</v>
      </c>
      <c r="AK132">
        <v>42</v>
      </c>
      <c r="AL132">
        <v>21.7</v>
      </c>
      <c r="AM132">
        <v>33.5</v>
      </c>
      <c r="AN132">
        <v>20</v>
      </c>
      <c r="AO132">
        <v>39.25</v>
      </c>
      <c r="AP132">
        <v>41.3</v>
      </c>
      <c r="AQ132">
        <v>41.1</v>
      </c>
      <c r="AR132">
        <v>152.5</v>
      </c>
      <c r="AS132" t="s">
        <v>49</v>
      </c>
      <c r="AT132" t="s">
        <v>315</v>
      </c>
      <c r="AU132" t="s">
        <v>321</v>
      </c>
      <c r="AV132" t="s">
        <v>47</v>
      </c>
      <c r="AW132" t="s">
        <v>326</v>
      </c>
      <c r="AX132" t="s">
        <v>323</v>
      </c>
      <c r="AY132">
        <v>1.2E-2</v>
      </c>
      <c r="AZ132">
        <v>9.4309999999999992</v>
      </c>
      <c r="BA132">
        <v>0.21812000000000001</v>
      </c>
      <c r="BB132">
        <v>2.5619399999999999</v>
      </c>
      <c r="BC132">
        <v>0.72</v>
      </c>
      <c r="BD132">
        <v>1.7590400518890801</v>
      </c>
      <c r="BE132" t="s">
        <v>319</v>
      </c>
      <c r="BF132" t="s">
        <v>320</v>
      </c>
    </row>
    <row r="133" spans="1:58" customFormat="1" x14ac:dyDescent="0.35">
      <c r="A133">
        <v>10</v>
      </c>
      <c r="B133">
        <v>10</v>
      </c>
      <c r="C133">
        <v>10</v>
      </c>
      <c r="D133">
        <v>12</v>
      </c>
      <c r="E133">
        <v>14</v>
      </c>
      <c r="F133">
        <v>14</v>
      </c>
      <c r="G133">
        <v>14</v>
      </c>
      <c r="H133">
        <v>10</v>
      </c>
      <c r="I133">
        <v>10</v>
      </c>
      <c r="J133">
        <v>11</v>
      </c>
      <c r="K133">
        <v>11</v>
      </c>
      <c r="L133">
        <v>11</v>
      </c>
      <c r="M133">
        <v>11</v>
      </c>
      <c r="N133">
        <v>11</v>
      </c>
      <c r="O133">
        <v>11</v>
      </c>
      <c r="P133">
        <v>11</v>
      </c>
      <c r="Q133">
        <v>11</v>
      </c>
      <c r="R133">
        <v>12</v>
      </c>
      <c r="S133">
        <v>12</v>
      </c>
      <c r="T133">
        <v>12</v>
      </c>
      <c r="U133">
        <v>12</v>
      </c>
      <c r="V133">
        <f>MAX(A133:U133)</f>
        <v>14</v>
      </c>
      <c r="W133" s="4" t="s">
        <v>207</v>
      </c>
      <c r="X133">
        <v>0.1989473469722513</v>
      </c>
      <c r="Y133">
        <v>1.58</v>
      </c>
      <c r="Z133">
        <v>32</v>
      </c>
      <c r="AA133">
        <v>54.3</v>
      </c>
      <c r="AB133">
        <v>47</v>
      </c>
      <c r="AC133">
        <v>28.9</v>
      </c>
      <c r="AD133">
        <v>3.5</v>
      </c>
      <c r="AE133">
        <v>1187</v>
      </c>
      <c r="AF133">
        <v>25.9</v>
      </c>
      <c r="AG133">
        <v>28.8</v>
      </c>
      <c r="AH133">
        <v>20.399999999999999</v>
      </c>
      <c r="AI133">
        <v>38.299999999999997</v>
      </c>
      <c r="AJ133">
        <v>24.1</v>
      </c>
      <c r="AK133">
        <v>39.5</v>
      </c>
      <c r="AL133">
        <v>20.399999999999999</v>
      </c>
      <c r="AM133">
        <v>33.5</v>
      </c>
      <c r="AN133">
        <v>21.2</v>
      </c>
      <c r="AO133">
        <v>39.549999999999997</v>
      </c>
      <c r="AP133">
        <v>46.95</v>
      </c>
      <c r="AQ133">
        <v>44.55</v>
      </c>
      <c r="AR133">
        <v>160</v>
      </c>
      <c r="AS133" t="s">
        <v>49</v>
      </c>
      <c r="AT133" t="s">
        <v>330</v>
      </c>
      <c r="AU133" t="s">
        <v>316</v>
      </c>
      <c r="AV133" t="s">
        <v>47</v>
      </c>
      <c r="AW133" t="s">
        <v>317</v>
      </c>
      <c r="AX133" t="s">
        <v>323</v>
      </c>
      <c r="AY133">
        <v>1E-3</v>
      </c>
      <c r="AZ133">
        <v>11.19</v>
      </c>
      <c r="BA133">
        <v>1.2630000000000001E-2</v>
      </c>
      <c r="BB133">
        <v>1.2483200000000001</v>
      </c>
      <c r="BC133">
        <v>0.06</v>
      </c>
      <c r="BD133">
        <v>0.46311010215664</v>
      </c>
      <c r="BE133" t="s">
        <v>319</v>
      </c>
      <c r="BF133" t="s">
        <v>320</v>
      </c>
    </row>
    <row r="134" spans="1:58" customFormat="1" x14ac:dyDescent="0.35">
      <c r="A134">
        <v>12</v>
      </c>
      <c r="B134">
        <v>16</v>
      </c>
      <c r="C134">
        <v>14</v>
      </c>
      <c r="D134">
        <v>14</v>
      </c>
      <c r="E134">
        <v>16</v>
      </c>
      <c r="F134">
        <v>18</v>
      </c>
      <c r="G134">
        <v>20</v>
      </c>
      <c r="H134">
        <v>10</v>
      </c>
      <c r="I134">
        <v>12</v>
      </c>
      <c r="J134">
        <v>14</v>
      </c>
      <c r="K134">
        <v>20</v>
      </c>
      <c r="L134">
        <v>26</v>
      </c>
      <c r="M134">
        <v>22</v>
      </c>
      <c r="N134">
        <v>26</v>
      </c>
      <c r="O134">
        <v>14</v>
      </c>
      <c r="P134">
        <v>16</v>
      </c>
      <c r="Q134">
        <v>22</v>
      </c>
      <c r="R134">
        <v>24</v>
      </c>
      <c r="S134">
        <v>26</v>
      </c>
      <c r="T134">
        <v>24</v>
      </c>
      <c r="U134">
        <v>30</v>
      </c>
      <c r="V134">
        <f>MAX(A134:U134)</f>
        <v>30</v>
      </c>
      <c r="W134" s="4" t="s">
        <v>208</v>
      </c>
      <c r="X134">
        <v>1.307871306948168E-3</v>
      </c>
      <c r="Y134">
        <v>30.69</v>
      </c>
      <c r="Z134">
        <v>26</v>
      </c>
      <c r="AA134">
        <v>56</v>
      </c>
      <c r="AB134">
        <v>57</v>
      </c>
      <c r="AC134">
        <v>31.3</v>
      </c>
      <c r="AD134">
        <v>5</v>
      </c>
      <c r="AE134">
        <v>1203</v>
      </c>
      <c r="AF134">
        <v>24.8</v>
      </c>
      <c r="AG134">
        <v>27.2</v>
      </c>
      <c r="AH134">
        <v>18.899999999999999</v>
      </c>
      <c r="AI134">
        <v>37.200000000000003</v>
      </c>
      <c r="AJ134">
        <v>25.8</v>
      </c>
      <c r="AK134">
        <v>41.7</v>
      </c>
      <c r="AL134">
        <v>22.4</v>
      </c>
      <c r="AM134">
        <v>34.700000000000003</v>
      </c>
      <c r="AN134">
        <v>21.9</v>
      </c>
      <c r="AO134">
        <v>41.1</v>
      </c>
      <c r="AP134">
        <v>43.8</v>
      </c>
      <c r="AQ134">
        <v>45.35</v>
      </c>
      <c r="AR134">
        <v>160</v>
      </c>
      <c r="AS134" t="s">
        <v>49</v>
      </c>
      <c r="AT134" t="s">
        <v>327</v>
      </c>
      <c r="AU134" t="s">
        <v>322</v>
      </c>
      <c r="AV134" t="s">
        <v>47</v>
      </c>
      <c r="AW134" t="s">
        <v>326</v>
      </c>
      <c r="AX134" t="s">
        <v>323</v>
      </c>
      <c r="AY134">
        <v>3.6999999999999998E-2</v>
      </c>
      <c r="AZ134">
        <v>12.032</v>
      </c>
      <c r="BA134">
        <v>0.53286999999999995</v>
      </c>
      <c r="BB134">
        <v>3.78654</v>
      </c>
      <c r="BC134">
        <v>2.21999999999999</v>
      </c>
      <c r="BD134" s="7">
        <v>3.5686719636776298</v>
      </c>
      <c r="BE134" t="s">
        <v>319</v>
      </c>
      <c r="BF134" t="s">
        <v>320</v>
      </c>
    </row>
    <row r="135" spans="1:58" customFormat="1" x14ac:dyDescent="0.35">
      <c r="A135">
        <v>10</v>
      </c>
      <c r="B135">
        <v>10</v>
      </c>
      <c r="C135">
        <v>16</v>
      </c>
      <c r="D135">
        <v>18</v>
      </c>
      <c r="E135">
        <v>12</v>
      </c>
      <c r="F135">
        <v>15</v>
      </c>
      <c r="G135">
        <v>11</v>
      </c>
      <c r="H135">
        <v>10</v>
      </c>
      <c r="I135">
        <v>11</v>
      </c>
      <c r="J135">
        <v>10</v>
      </c>
      <c r="K135">
        <v>11</v>
      </c>
      <c r="L135">
        <v>12</v>
      </c>
      <c r="M135">
        <v>12</v>
      </c>
      <c r="N135">
        <v>12</v>
      </c>
      <c r="O135">
        <v>12</v>
      </c>
      <c r="P135">
        <v>12</v>
      </c>
      <c r="Q135">
        <v>13</v>
      </c>
      <c r="R135">
        <v>12</v>
      </c>
      <c r="S135">
        <v>12</v>
      </c>
      <c r="T135">
        <v>12</v>
      </c>
      <c r="U135">
        <v>12</v>
      </c>
      <c r="V135">
        <f>MAX(A135:U135)</f>
        <v>18</v>
      </c>
      <c r="W135" s="4" t="s">
        <v>209</v>
      </c>
      <c r="X135">
        <v>0.35837384422358493</v>
      </c>
      <c r="Y135">
        <v>3.84</v>
      </c>
      <c r="Z135">
        <v>20</v>
      </c>
      <c r="AA135">
        <v>85.4</v>
      </c>
      <c r="AB135">
        <v>63</v>
      </c>
      <c r="AC135">
        <v>30.9</v>
      </c>
      <c r="AD135">
        <v>22</v>
      </c>
      <c r="AE135">
        <v>1792</v>
      </c>
      <c r="AF135">
        <v>27.4</v>
      </c>
      <c r="AG135">
        <v>32.6</v>
      </c>
      <c r="AH135">
        <v>19.5</v>
      </c>
      <c r="AI135">
        <v>44.9</v>
      </c>
      <c r="AJ135">
        <v>22</v>
      </c>
      <c r="AK135">
        <v>26.8</v>
      </c>
      <c r="AL135">
        <v>20.399999999999999</v>
      </c>
      <c r="AM135">
        <v>27.6</v>
      </c>
      <c r="AN135">
        <v>31</v>
      </c>
      <c r="AO135">
        <v>39.299999999999997</v>
      </c>
      <c r="AP135">
        <v>46.25</v>
      </c>
      <c r="AQ135">
        <v>46.65</v>
      </c>
      <c r="AR135">
        <v>166</v>
      </c>
      <c r="AS135" t="s">
        <v>46</v>
      </c>
      <c r="AT135" t="s">
        <v>315</v>
      </c>
      <c r="AU135" t="s">
        <v>321</v>
      </c>
      <c r="AV135" t="s">
        <v>52</v>
      </c>
      <c r="AW135" t="s">
        <v>326</v>
      </c>
      <c r="AX135" t="s">
        <v>323</v>
      </c>
      <c r="AY135">
        <v>-2E-3</v>
      </c>
      <c r="AZ135">
        <v>12.52</v>
      </c>
      <c r="BA135">
        <v>1.304E-2</v>
      </c>
      <c r="BB135">
        <v>1.94594</v>
      </c>
      <c r="BC135">
        <v>-0.12</v>
      </c>
      <c r="BD135">
        <v>0.48062266904491602</v>
      </c>
      <c r="BE135" t="s">
        <v>329</v>
      </c>
      <c r="BF135" t="s">
        <v>320</v>
      </c>
    </row>
    <row r="136" spans="1:58" customFormat="1" x14ac:dyDescent="0.35">
      <c r="A136">
        <v>10</v>
      </c>
      <c r="B136">
        <v>10</v>
      </c>
      <c r="C136">
        <v>10</v>
      </c>
      <c r="D136">
        <v>15</v>
      </c>
      <c r="E136">
        <v>18</v>
      </c>
      <c r="F136">
        <v>14</v>
      </c>
      <c r="G136">
        <v>13</v>
      </c>
      <c r="H136">
        <v>12</v>
      </c>
      <c r="I136">
        <v>10</v>
      </c>
      <c r="J136">
        <v>12</v>
      </c>
      <c r="K136">
        <v>12</v>
      </c>
      <c r="L136">
        <v>13</v>
      </c>
      <c r="M136">
        <v>14</v>
      </c>
      <c r="N136">
        <v>16</v>
      </c>
      <c r="O136">
        <v>13</v>
      </c>
      <c r="P136">
        <v>10</v>
      </c>
      <c r="Q136">
        <v>12</v>
      </c>
      <c r="R136">
        <v>15</v>
      </c>
      <c r="S136">
        <v>15</v>
      </c>
      <c r="T136">
        <v>14</v>
      </c>
      <c r="U136">
        <v>15</v>
      </c>
      <c r="V136">
        <f>MAX(A136:U136)</f>
        <v>18</v>
      </c>
      <c r="W136" s="4" t="s">
        <v>210</v>
      </c>
      <c r="X136">
        <v>0.66277561232323068</v>
      </c>
      <c r="Y136">
        <v>4.8600000000000003</v>
      </c>
      <c r="Z136">
        <v>22</v>
      </c>
      <c r="AA136">
        <v>66.5</v>
      </c>
      <c r="AB136">
        <v>51</v>
      </c>
      <c r="AC136">
        <v>34.1</v>
      </c>
      <c r="AD136">
        <v>6</v>
      </c>
      <c r="AE136">
        <v>1354</v>
      </c>
      <c r="AF136">
        <v>24.4</v>
      </c>
      <c r="AG136">
        <v>24.5</v>
      </c>
      <c r="AH136">
        <v>18.2</v>
      </c>
      <c r="AI136">
        <v>37</v>
      </c>
      <c r="AJ136">
        <v>28.7</v>
      </c>
      <c r="AK136">
        <v>45.8</v>
      </c>
      <c r="AL136">
        <v>25.3</v>
      </c>
      <c r="AM136">
        <v>39.5</v>
      </c>
      <c r="AN136">
        <v>23.8</v>
      </c>
      <c r="AO136">
        <v>41.15</v>
      </c>
      <c r="AP136">
        <v>49.95</v>
      </c>
      <c r="AQ136">
        <v>45.35</v>
      </c>
      <c r="AR136">
        <v>167</v>
      </c>
      <c r="AS136" t="s">
        <v>49</v>
      </c>
      <c r="AT136" t="s">
        <v>315</v>
      </c>
      <c r="AU136" t="s">
        <v>316</v>
      </c>
      <c r="AV136" t="s">
        <v>47</v>
      </c>
      <c r="AW136" t="s">
        <v>317</v>
      </c>
      <c r="AX136" t="s">
        <v>318</v>
      </c>
      <c r="AY136">
        <v>7.0000000000000001E-3</v>
      </c>
      <c r="AZ136">
        <v>11.71</v>
      </c>
      <c r="BA136">
        <v>0.12034</v>
      </c>
      <c r="BB136">
        <v>2.0670299999999999</v>
      </c>
      <c r="BC136">
        <v>0.42</v>
      </c>
      <c r="BD136">
        <v>0.83476568834117004</v>
      </c>
      <c r="BE136" t="s">
        <v>319</v>
      </c>
      <c r="BF136" t="s">
        <v>320</v>
      </c>
    </row>
    <row r="137" spans="1:58" customFormat="1" x14ac:dyDescent="0.35">
      <c r="A137">
        <v>10</v>
      </c>
      <c r="B137">
        <v>10</v>
      </c>
      <c r="C137">
        <v>10</v>
      </c>
      <c r="D137">
        <v>10</v>
      </c>
      <c r="E137">
        <v>10</v>
      </c>
      <c r="F137">
        <v>10</v>
      </c>
      <c r="G137">
        <v>10</v>
      </c>
      <c r="H137">
        <v>10</v>
      </c>
      <c r="I137">
        <v>10</v>
      </c>
      <c r="J137">
        <v>10</v>
      </c>
      <c r="K137">
        <v>10</v>
      </c>
      <c r="L137">
        <v>10</v>
      </c>
      <c r="M137">
        <v>12</v>
      </c>
      <c r="N137">
        <v>15</v>
      </c>
      <c r="O137">
        <v>15</v>
      </c>
      <c r="P137">
        <v>15</v>
      </c>
      <c r="Q137">
        <v>15</v>
      </c>
      <c r="R137">
        <v>15</v>
      </c>
      <c r="S137">
        <v>17</v>
      </c>
      <c r="T137">
        <v>17</v>
      </c>
      <c r="U137">
        <v>17</v>
      </c>
      <c r="V137">
        <f>MAX(A137:U137)</f>
        <v>17</v>
      </c>
      <c r="W137" s="4" t="s">
        <v>211</v>
      </c>
      <c r="X137">
        <v>8.1713645046977402E-5</v>
      </c>
      <c r="Y137">
        <v>7.92</v>
      </c>
      <c r="Z137">
        <v>18</v>
      </c>
      <c r="AA137">
        <v>46.6</v>
      </c>
      <c r="AB137">
        <v>65</v>
      </c>
      <c r="AC137">
        <v>38.299999999999997</v>
      </c>
      <c r="AD137">
        <v>8</v>
      </c>
      <c r="AE137">
        <v>1024</v>
      </c>
      <c r="AF137">
        <v>19.399999999999999</v>
      </c>
      <c r="AG137">
        <v>22.8</v>
      </c>
      <c r="AH137">
        <v>14.1</v>
      </c>
      <c r="AI137">
        <v>31.2</v>
      </c>
      <c r="AJ137">
        <v>30.4</v>
      </c>
      <c r="AK137">
        <v>49.3</v>
      </c>
      <c r="AL137">
        <v>27.9</v>
      </c>
      <c r="AM137">
        <v>40.200000000000003</v>
      </c>
      <c r="AN137">
        <v>23.4</v>
      </c>
      <c r="AO137">
        <v>36.6</v>
      </c>
      <c r="AP137">
        <v>41.2</v>
      </c>
      <c r="AQ137">
        <v>37.9</v>
      </c>
      <c r="AR137">
        <v>141</v>
      </c>
      <c r="AS137" t="s">
        <v>49</v>
      </c>
      <c r="AT137" t="s">
        <v>315</v>
      </c>
      <c r="AU137" t="s">
        <v>322</v>
      </c>
      <c r="AV137" t="s">
        <v>47</v>
      </c>
      <c r="AW137" t="s">
        <v>326</v>
      </c>
      <c r="AX137" t="s">
        <v>323</v>
      </c>
      <c r="AY137">
        <v>2.3E-2</v>
      </c>
      <c r="AZ137">
        <v>8.0739999999999998</v>
      </c>
      <c r="BA137">
        <v>0.78654000000000002</v>
      </c>
      <c r="BB137">
        <v>1.30009</v>
      </c>
      <c r="BC137">
        <v>1.38</v>
      </c>
      <c r="BD137">
        <v>2.1365331603697002</v>
      </c>
      <c r="BE137" t="s">
        <v>319</v>
      </c>
      <c r="BF137" t="s">
        <v>320</v>
      </c>
    </row>
    <row r="138" spans="1:58" customFormat="1" x14ac:dyDescent="0.35">
      <c r="A138">
        <v>10</v>
      </c>
      <c r="B138">
        <v>10</v>
      </c>
      <c r="C138">
        <v>10</v>
      </c>
      <c r="D138">
        <v>10</v>
      </c>
      <c r="E138">
        <v>11</v>
      </c>
      <c r="F138">
        <v>10</v>
      </c>
      <c r="G138">
        <v>10</v>
      </c>
      <c r="H138">
        <v>10</v>
      </c>
      <c r="I138">
        <v>10</v>
      </c>
      <c r="J138">
        <v>10</v>
      </c>
      <c r="K138">
        <v>10</v>
      </c>
      <c r="L138">
        <v>10</v>
      </c>
      <c r="M138">
        <v>11</v>
      </c>
      <c r="N138">
        <v>11</v>
      </c>
      <c r="O138">
        <v>10</v>
      </c>
      <c r="P138">
        <v>11</v>
      </c>
      <c r="Q138">
        <v>11</v>
      </c>
      <c r="R138">
        <v>12</v>
      </c>
      <c r="S138">
        <v>12</v>
      </c>
      <c r="T138">
        <v>12</v>
      </c>
      <c r="U138">
        <v>12</v>
      </c>
      <c r="V138">
        <f>MAX(A138:U138)</f>
        <v>12</v>
      </c>
      <c r="W138" s="4" t="s">
        <v>212</v>
      </c>
      <c r="X138">
        <v>0.52047281191517458</v>
      </c>
      <c r="Y138">
        <v>0.62</v>
      </c>
      <c r="Z138">
        <v>21</v>
      </c>
      <c r="AA138">
        <v>51.1</v>
      </c>
      <c r="AB138">
        <v>50</v>
      </c>
      <c r="AC138">
        <v>25.5</v>
      </c>
      <c r="AD138">
        <v>1.5</v>
      </c>
      <c r="AE138">
        <v>1151</v>
      </c>
      <c r="AF138">
        <v>27.3</v>
      </c>
      <c r="AG138">
        <v>31.2</v>
      </c>
      <c r="AH138">
        <v>22</v>
      </c>
      <c r="AI138">
        <v>38.9</v>
      </c>
      <c r="AJ138">
        <v>20.2</v>
      </c>
      <c r="AK138">
        <v>36</v>
      </c>
      <c r="AL138">
        <v>16.7</v>
      </c>
      <c r="AM138">
        <v>29.4</v>
      </c>
      <c r="AN138">
        <v>18.100000000000001</v>
      </c>
      <c r="AO138">
        <v>36.450000000000003</v>
      </c>
      <c r="AP138">
        <v>46.9</v>
      </c>
      <c r="AQ138">
        <v>45.8</v>
      </c>
      <c r="AR138">
        <v>168</v>
      </c>
      <c r="AS138" t="s">
        <v>49</v>
      </c>
      <c r="AT138" t="s">
        <v>315</v>
      </c>
      <c r="AU138" t="s">
        <v>321</v>
      </c>
      <c r="AV138" t="s">
        <v>47</v>
      </c>
      <c r="AW138" t="s">
        <v>317</v>
      </c>
      <c r="AX138" t="s">
        <v>318</v>
      </c>
      <c r="AY138">
        <v>6.0000000000000001E-3</v>
      </c>
      <c r="AZ138">
        <v>9.5739999999999998</v>
      </c>
      <c r="BA138">
        <v>0.62126000000000003</v>
      </c>
      <c r="BB138">
        <v>0.48332000000000003</v>
      </c>
      <c r="BC138">
        <v>0.36</v>
      </c>
      <c r="BD138">
        <v>0.60710231879357801</v>
      </c>
      <c r="BE138" t="s">
        <v>319</v>
      </c>
      <c r="BF138" t="s">
        <v>320</v>
      </c>
    </row>
    <row r="139" spans="1:58" customFormat="1" x14ac:dyDescent="0.35">
      <c r="A139">
        <v>10</v>
      </c>
      <c r="B139">
        <v>10</v>
      </c>
      <c r="C139">
        <v>10</v>
      </c>
      <c r="D139">
        <v>10</v>
      </c>
      <c r="E139">
        <v>11</v>
      </c>
      <c r="F139">
        <v>11</v>
      </c>
      <c r="G139">
        <v>11</v>
      </c>
      <c r="H139">
        <v>11</v>
      </c>
      <c r="I139">
        <v>11</v>
      </c>
      <c r="J139">
        <v>12</v>
      </c>
      <c r="K139">
        <v>12</v>
      </c>
      <c r="L139">
        <v>13</v>
      </c>
      <c r="M139">
        <v>13</v>
      </c>
      <c r="N139">
        <v>13</v>
      </c>
      <c r="O139">
        <v>12</v>
      </c>
      <c r="P139">
        <v>12</v>
      </c>
      <c r="Q139">
        <v>12</v>
      </c>
      <c r="R139">
        <v>12</v>
      </c>
      <c r="S139">
        <v>14</v>
      </c>
      <c r="T139">
        <v>20</v>
      </c>
      <c r="U139">
        <v>24</v>
      </c>
      <c r="V139">
        <f>MAX(A139:U139)</f>
        <v>24</v>
      </c>
      <c r="W139" s="4" t="s">
        <v>213</v>
      </c>
      <c r="X139">
        <v>1.31913727358545E-3</v>
      </c>
      <c r="Y139">
        <v>10.91</v>
      </c>
      <c r="Z139">
        <v>24</v>
      </c>
      <c r="AA139">
        <v>57.3</v>
      </c>
      <c r="AB139">
        <v>49</v>
      </c>
      <c r="AC139">
        <v>33.9</v>
      </c>
      <c r="AD139">
        <v>4.5</v>
      </c>
      <c r="AE139">
        <v>1212</v>
      </c>
      <c r="AF139">
        <v>23.9</v>
      </c>
      <c r="AG139">
        <v>25.8</v>
      </c>
      <c r="AH139">
        <v>18.5</v>
      </c>
      <c r="AI139">
        <v>35.5</v>
      </c>
      <c r="AJ139">
        <v>26.9</v>
      </c>
      <c r="AK139">
        <v>45.9</v>
      </c>
      <c r="AL139">
        <v>24.1</v>
      </c>
      <c r="AM139">
        <v>38.5</v>
      </c>
      <c r="AN139">
        <v>21.6</v>
      </c>
      <c r="AO139">
        <v>40.700000000000003</v>
      </c>
      <c r="AP139">
        <v>47.85</v>
      </c>
      <c r="AQ139">
        <v>42.05</v>
      </c>
      <c r="AR139">
        <v>163</v>
      </c>
      <c r="AS139" t="s">
        <v>49</v>
      </c>
      <c r="AT139">
        <v>0</v>
      </c>
      <c r="AU139" t="s">
        <v>322</v>
      </c>
      <c r="AV139" t="s">
        <v>47</v>
      </c>
      <c r="AW139" t="s">
        <v>317</v>
      </c>
      <c r="AX139" t="s">
        <v>323</v>
      </c>
      <c r="AY139">
        <v>2.1999999999999999E-2</v>
      </c>
      <c r="AZ139">
        <v>8.5060000000000002</v>
      </c>
      <c r="BA139">
        <v>0.53173000000000004</v>
      </c>
      <c r="BB139">
        <v>2.2604299999999999</v>
      </c>
      <c r="BC139">
        <v>1.3199999999999901</v>
      </c>
      <c r="BD139">
        <v>2.0334035998054101</v>
      </c>
      <c r="BE139" t="s">
        <v>319</v>
      </c>
      <c r="BF139" t="s">
        <v>320</v>
      </c>
    </row>
    <row r="140" spans="1:58" customFormat="1" x14ac:dyDescent="0.35">
      <c r="A140">
        <v>10</v>
      </c>
      <c r="B140">
        <v>11</v>
      </c>
      <c r="C140">
        <v>15</v>
      </c>
      <c r="D140">
        <v>15</v>
      </c>
      <c r="E140">
        <v>18</v>
      </c>
      <c r="F140">
        <v>16</v>
      </c>
      <c r="G140">
        <v>16</v>
      </c>
      <c r="H140">
        <v>11</v>
      </c>
      <c r="I140">
        <v>15</v>
      </c>
      <c r="J140">
        <v>15</v>
      </c>
      <c r="K140">
        <v>17</v>
      </c>
      <c r="L140">
        <v>21</v>
      </c>
      <c r="M140">
        <v>21</v>
      </c>
      <c r="N140">
        <v>23</v>
      </c>
      <c r="O140">
        <v>17</v>
      </c>
      <c r="P140">
        <v>23</v>
      </c>
      <c r="Q140">
        <v>23</v>
      </c>
      <c r="R140">
        <v>23</v>
      </c>
      <c r="S140">
        <v>25</v>
      </c>
      <c r="T140">
        <v>29</v>
      </c>
      <c r="U140">
        <v>31</v>
      </c>
      <c r="V140">
        <f>MAX(A140:U140)</f>
        <v>31</v>
      </c>
      <c r="W140" s="4" t="s">
        <v>214</v>
      </c>
      <c r="X140">
        <v>1.897004240556053E-4</v>
      </c>
      <c r="Y140">
        <v>31.01</v>
      </c>
      <c r="Z140">
        <v>22</v>
      </c>
      <c r="AA140">
        <v>57.8</v>
      </c>
      <c r="AB140">
        <v>46</v>
      </c>
      <c r="AC140">
        <v>30.5</v>
      </c>
      <c r="AD140">
        <v>3</v>
      </c>
      <c r="AE140">
        <v>1237</v>
      </c>
      <c r="AF140">
        <v>25.6</v>
      </c>
      <c r="AG140">
        <v>27.8</v>
      </c>
      <c r="AH140">
        <v>20.100000000000001</v>
      </c>
      <c r="AI140">
        <v>37.700000000000003</v>
      </c>
      <c r="AJ140">
        <v>24.6</v>
      </c>
      <c r="AK140">
        <v>41.9</v>
      </c>
      <c r="AL140">
        <v>21.3</v>
      </c>
      <c r="AM140">
        <v>35.4</v>
      </c>
      <c r="AN140">
        <v>20.7</v>
      </c>
      <c r="AO140">
        <v>39.1</v>
      </c>
      <c r="AP140">
        <v>47</v>
      </c>
      <c r="AQ140">
        <v>42.6</v>
      </c>
      <c r="AR140">
        <v>167</v>
      </c>
      <c r="AS140" t="s">
        <v>49</v>
      </c>
      <c r="AT140" t="s">
        <v>315</v>
      </c>
      <c r="AU140" t="s">
        <v>321</v>
      </c>
      <c r="AV140" t="s">
        <v>47</v>
      </c>
      <c r="AW140" t="s">
        <v>317</v>
      </c>
      <c r="AX140" t="s">
        <v>318</v>
      </c>
      <c r="AY140">
        <v>4.5999999999999999E-2</v>
      </c>
      <c r="AZ140">
        <v>10.327</v>
      </c>
      <c r="BA140">
        <v>0.81455999999999995</v>
      </c>
      <c r="BB140">
        <v>2.3980600000000001</v>
      </c>
      <c r="BC140">
        <v>2.76</v>
      </c>
      <c r="BD140" s="7">
        <v>4.04734879195719</v>
      </c>
      <c r="BE140" t="s">
        <v>319</v>
      </c>
      <c r="BF140" t="s">
        <v>320</v>
      </c>
    </row>
    <row r="141" spans="1:58" customFormat="1" x14ac:dyDescent="0.35">
      <c r="A141">
        <v>10</v>
      </c>
      <c r="B141">
        <v>10</v>
      </c>
      <c r="C141">
        <v>14</v>
      </c>
      <c r="D141">
        <v>16</v>
      </c>
      <c r="E141">
        <v>20</v>
      </c>
      <c r="F141">
        <v>25</v>
      </c>
      <c r="G141">
        <v>29</v>
      </c>
      <c r="H141">
        <v>12</v>
      </c>
      <c r="I141">
        <v>14</v>
      </c>
      <c r="J141">
        <v>28</v>
      </c>
      <c r="K141">
        <v>29</v>
      </c>
      <c r="L141">
        <v>39</v>
      </c>
      <c r="M141">
        <v>39</v>
      </c>
      <c r="N141">
        <v>39</v>
      </c>
      <c r="O141">
        <v>10</v>
      </c>
      <c r="P141">
        <v>29</v>
      </c>
      <c r="Q141">
        <v>39</v>
      </c>
      <c r="R141">
        <v>39</v>
      </c>
      <c r="S141">
        <v>39</v>
      </c>
      <c r="T141">
        <v>39</v>
      </c>
      <c r="U141">
        <v>39</v>
      </c>
      <c r="V141">
        <f>MAX(A141:U141)</f>
        <v>39</v>
      </c>
      <c r="W141" s="4" t="s">
        <v>215</v>
      </c>
      <c r="X141">
        <v>2.9588259220476201E-7</v>
      </c>
      <c r="Y141">
        <v>131.66999999999999</v>
      </c>
      <c r="Z141">
        <v>23</v>
      </c>
      <c r="AA141">
        <v>41.7</v>
      </c>
      <c r="AB141">
        <v>51</v>
      </c>
      <c r="AC141">
        <v>29</v>
      </c>
      <c r="AD141">
        <v>2.5</v>
      </c>
      <c r="AE141">
        <v>985</v>
      </c>
      <c r="AF141">
        <v>23.9</v>
      </c>
      <c r="AG141">
        <v>29.2</v>
      </c>
      <c r="AH141">
        <v>19.100000000000001</v>
      </c>
      <c r="AI141">
        <v>34.200000000000003</v>
      </c>
      <c r="AJ141">
        <v>22.2</v>
      </c>
      <c r="AK141">
        <v>39.299999999999997</v>
      </c>
      <c r="AL141">
        <v>19.2</v>
      </c>
      <c r="AM141">
        <v>31.2</v>
      </c>
      <c r="AN141">
        <v>18.5</v>
      </c>
      <c r="AO141">
        <v>34.200000000000003</v>
      </c>
      <c r="AP141">
        <v>41.4</v>
      </c>
      <c r="AQ141">
        <v>41.3</v>
      </c>
      <c r="AR141">
        <v>150</v>
      </c>
      <c r="AS141" t="s">
        <v>49</v>
      </c>
      <c r="AT141" t="s">
        <v>315</v>
      </c>
      <c r="AU141" t="s">
        <v>322</v>
      </c>
      <c r="AV141" t="s">
        <v>47</v>
      </c>
      <c r="AW141" t="s">
        <v>317</v>
      </c>
      <c r="AX141" t="s">
        <v>323</v>
      </c>
      <c r="AY141">
        <v>8.2000000000000003E-2</v>
      </c>
      <c r="AZ141">
        <v>11.477</v>
      </c>
      <c r="BA141">
        <v>0.60755999999999999</v>
      </c>
      <c r="BB141">
        <v>7.1884199999999998</v>
      </c>
      <c r="BC141">
        <v>4.92</v>
      </c>
      <c r="BD141">
        <v>5.5300794551645804</v>
      </c>
      <c r="BE141" t="s">
        <v>319</v>
      </c>
      <c r="BF141" t="s">
        <v>324</v>
      </c>
    </row>
    <row r="142" spans="1:58" customFormat="1" x14ac:dyDescent="0.35">
      <c r="A142">
        <v>10</v>
      </c>
      <c r="B142">
        <v>10</v>
      </c>
      <c r="C142">
        <v>10</v>
      </c>
      <c r="D142">
        <v>10</v>
      </c>
      <c r="E142">
        <v>10</v>
      </c>
      <c r="F142">
        <v>14</v>
      </c>
      <c r="G142">
        <v>14</v>
      </c>
      <c r="H142">
        <v>10</v>
      </c>
      <c r="I142">
        <v>14</v>
      </c>
      <c r="J142">
        <v>14</v>
      </c>
      <c r="K142">
        <v>14</v>
      </c>
      <c r="L142">
        <v>14</v>
      </c>
      <c r="M142">
        <v>14</v>
      </c>
      <c r="N142">
        <v>16</v>
      </c>
      <c r="O142">
        <v>14</v>
      </c>
      <c r="P142">
        <v>16</v>
      </c>
      <c r="Q142">
        <v>18</v>
      </c>
      <c r="R142">
        <v>18</v>
      </c>
      <c r="S142">
        <v>19</v>
      </c>
      <c r="T142">
        <v>18</v>
      </c>
      <c r="U142">
        <v>19</v>
      </c>
      <c r="V142">
        <f>MAX(A142:U142)</f>
        <v>19</v>
      </c>
      <c r="W142" s="4" t="s">
        <v>216</v>
      </c>
      <c r="X142">
        <v>1.6766475572007019E-4</v>
      </c>
      <c r="Y142">
        <v>9.61</v>
      </c>
      <c r="Z142" t="s">
        <v>217</v>
      </c>
      <c r="AA142">
        <v>59.4</v>
      </c>
      <c r="AB142">
        <v>68</v>
      </c>
      <c r="AC142">
        <v>19.3</v>
      </c>
      <c r="AD142">
        <v>3</v>
      </c>
      <c r="AE142">
        <v>1438</v>
      </c>
      <c r="AF142">
        <v>31.9</v>
      </c>
      <c r="AG142">
        <v>38</v>
      </c>
      <c r="AH142">
        <v>26.2</v>
      </c>
      <c r="AI142">
        <v>49.2</v>
      </c>
      <c r="AJ142">
        <v>12.7</v>
      </c>
      <c r="AK142">
        <v>16.899999999999999</v>
      </c>
      <c r="AL142">
        <v>10.7</v>
      </c>
      <c r="AM142">
        <v>16.600000000000001</v>
      </c>
      <c r="AN142">
        <v>18.3</v>
      </c>
      <c r="AO142">
        <v>39.200000000000003</v>
      </c>
      <c r="AP142">
        <v>47.7</v>
      </c>
      <c r="AQ142">
        <v>49.95</v>
      </c>
      <c r="AR142">
        <v>180</v>
      </c>
      <c r="AS142" t="s">
        <v>46</v>
      </c>
      <c r="AT142" t="s">
        <v>315</v>
      </c>
      <c r="AU142" t="s">
        <v>321</v>
      </c>
      <c r="AV142" t="s">
        <v>47</v>
      </c>
      <c r="AW142" t="s">
        <v>326</v>
      </c>
      <c r="AX142" t="s">
        <v>318</v>
      </c>
      <c r="AY142">
        <v>2.5999999999999999E-2</v>
      </c>
      <c r="AZ142">
        <v>9.2129999999999992</v>
      </c>
      <c r="BA142">
        <v>0.87097000000000002</v>
      </c>
      <c r="BB142">
        <v>1.11354</v>
      </c>
      <c r="BC142">
        <v>1.5599999999999901</v>
      </c>
      <c r="BD142">
        <v>1.85633209015728</v>
      </c>
      <c r="BE142" t="s">
        <v>319</v>
      </c>
      <c r="BF142" t="s">
        <v>320</v>
      </c>
    </row>
    <row r="143" spans="1:58" customFormat="1" x14ac:dyDescent="0.35">
      <c r="A143">
        <v>10</v>
      </c>
      <c r="B143">
        <v>12</v>
      </c>
      <c r="C143">
        <v>12</v>
      </c>
      <c r="D143">
        <v>11</v>
      </c>
      <c r="E143">
        <v>11</v>
      </c>
      <c r="F143">
        <v>11</v>
      </c>
      <c r="G143">
        <v>11</v>
      </c>
      <c r="H143">
        <v>10</v>
      </c>
      <c r="I143">
        <v>10</v>
      </c>
      <c r="J143">
        <v>10</v>
      </c>
      <c r="K143">
        <v>10</v>
      </c>
      <c r="L143">
        <v>11</v>
      </c>
      <c r="M143">
        <v>11</v>
      </c>
      <c r="N143">
        <v>12</v>
      </c>
      <c r="O143">
        <v>10</v>
      </c>
      <c r="P143">
        <v>10</v>
      </c>
      <c r="Q143">
        <v>10</v>
      </c>
      <c r="R143">
        <v>11</v>
      </c>
      <c r="S143">
        <v>11</v>
      </c>
      <c r="T143">
        <v>11</v>
      </c>
      <c r="U143">
        <v>13</v>
      </c>
      <c r="V143">
        <f>MAX(A143:U143)</f>
        <v>13</v>
      </c>
      <c r="W143" s="4" t="s">
        <v>218</v>
      </c>
      <c r="X143">
        <v>0.75214745529995097</v>
      </c>
      <c r="Y143">
        <v>0.69</v>
      </c>
      <c r="Z143">
        <v>32</v>
      </c>
      <c r="AA143">
        <v>46.2</v>
      </c>
      <c r="AB143">
        <v>63</v>
      </c>
      <c r="AC143">
        <v>27.4</v>
      </c>
      <c r="AD143">
        <v>2.5</v>
      </c>
      <c r="AE143">
        <v>1062</v>
      </c>
      <c r="AF143">
        <v>25.2</v>
      </c>
      <c r="AG143">
        <v>29.8</v>
      </c>
      <c r="AH143">
        <v>19.8</v>
      </c>
      <c r="AI143">
        <v>36.9</v>
      </c>
      <c r="AJ143">
        <v>21.6</v>
      </c>
      <c r="AK143">
        <v>36.9</v>
      </c>
      <c r="AL143">
        <v>18.2</v>
      </c>
      <c r="AM143">
        <v>29.1</v>
      </c>
      <c r="AN143">
        <v>18.7</v>
      </c>
      <c r="AO143">
        <v>38</v>
      </c>
      <c r="AP143">
        <v>44.8</v>
      </c>
      <c r="AQ143">
        <v>42.5</v>
      </c>
      <c r="AR143">
        <v>157</v>
      </c>
      <c r="AS143" t="s">
        <v>49</v>
      </c>
      <c r="AT143" t="s">
        <v>315</v>
      </c>
      <c r="AU143" t="s">
        <v>322</v>
      </c>
      <c r="AV143" t="s">
        <v>47</v>
      </c>
      <c r="AW143" t="s">
        <v>326</v>
      </c>
      <c r="AX143" t="s">
        <v>323</v>
      </c>
      <c r="AY143">
        <v>1E-3</v>
      </c>
      <c r="AZ143">
        <v>10.733000000000001</v>
      </c>
      <c r="BA143">
        <v>7.8600000000000007E-3</v>
      </c>
      <c r="BB143">
        <v>0.82970999999999995</v>
      </c>
      <c r="BC143">
        <v>0.06</v>
      </c>
      <c r="BD143">
        <v>0.42419328684935897</v>
      </c>
      <c r="BE143" t="s">
        <v>319</v>
      </c>
      <c r="BF143" t="s">
        <v>320</v>
      </c>
    </row>
    <row r="144" spans="1:58" customFormat="1" x14ac:dyDescent="0.35">
      <c r="A144">
        <v>12</v>
      </c>
      <c r="B144">
        <v>12</v>
      </c>
      <c r="C144">
        <v>12</v>
      </c>
      <c r="D144">
        <v>10</v>
      </c>
      <c r="E144">
        <v>10</v>
      </c>
      <c r="F144">
        <v>12</v>
      </c>
      <c r="G144">
        <v>12</v>
      </c>
      <c r="H144">
        <v>10</v>
      </c>
      <c r="I144">
        <v>12</v>
      </c>
      <c r="J144">
        <v>10</v>
      </c>
      <c r="K144">
        <v>11</v>
      </c>
      <c r="L144">
        <v>13</v>
      </c>
      <c r="M144">
        <v>11</v>
      </c>
      <c r="N144">
        <v>11</v>
      </c>
      <c r="O144">
        <v>11</v>
      </c>
      <c r="P144">
        <v>11</v>
      </c>
      <c r="Q144">
        <v>11</v>
      </c>
      <c r="R144">
        <v>11</v>
      </c>
      <c r="S144">
        <v>11</v>
      </c>
      <c r="T144">
        <v>11</v>
      </c>
      <c r="U144">
        <v>11</v>
      </c>
      <c r="V144">
        <f>MAX(A144:U144)</f>
        <v>13</v>
      </c>
      <c r="W144" s="4" t="s">
        <v>219</v>
      </c>
      <c r="X144">
        <v>0.64018937494725792</v>
      </c>
      <c r="Y144">
        <v>0.63</v>
      </c>
      <c r="Z144" t="s">
        <v>220</v>
      </c>
      <c r="AA144">
        <v>104</v>
      </c>
      <c r="AB144">
        <v>41</v>
      </c>
      <c r="AC144">
        <v>31.9</v>
      </c>
      <c r="AD144">
        <v>19</v>
      </c>
      <c r="AE144">
        <v>2093</v>
      </c>
      <c r="AF144">
        <v>29.1</v>
      </c>
      <c r="AG144">
        <v>33.9</v>
      </c>
      <c r="AH144">
        <v>20.5</v>
      </c>
      <c r="AI144">
        <v>46.6</v>
      </c>
      <c r="AJ144">
        <v>22.8</v>
      </c>
      <c r="AK144">
        <v>29.5</v>
      </c>
      <c r="AL144">
        <v>21.2</v>
      </c>
      <c r="AM144">
        <v>30.1</v>
      </c>
      <c r="AN144">
        <v>32.1</v>
      </c>
      <c r="AO144">
        <v>43.7</v>
      </c>
      <c r="AP144">
        <v>50.65</v>
      </c>
      <c r="AQ144">
        <v>48.5</v>
      </c>
      <c r="AR144">
        <v>180</v>
      </c>
      <c r="AS144" t="s">
        <v>46</v>
      </c>
      <c r="AT144" t="s">
        <v>330</v>
      </c>
      <c r="AU144" t="s">
        <v>321</v>
      </c>
      <c r="AV144" t="s">
        <v>52</v>
      </c>
      <c r="AW144" t="s">
        <v>317</v>
      </c>
      <c r="AX144" t="s">
        <v>318</v>
      </c>
      <c r="AY144">
        <v>-1E-3</v>
      </c>
      <c r="AZ144">
        <v>11.436</v>
      </c>
      <c r="BA144">
        <v>3.3590000000000002E-2</v>
      </c>
      <c r="BB144">
        <v>0.78051999999999999</v>
      </c>
      <c r="BC144">
        <v>-0.06</v>
      </c>
      <c r="BD144">
        <v>1.36208853575482E-2</v>
      </c>
      <c r="BE144" t="s">
        <v>329</v>
      </c>
      <c r="BF144" t="s">
        <v>320</v>
      </c>
    </row>
    <row r="145" spans="1:58" customFormat="1" x14ac:dyDescent="0.35">
      <c r="A145">
        <v>10</v>
      </c>
      <c r="B145">
        <v>10</v>
      </c>
      <c r="C145">
        <v>10</v>
      </c>
      <c r="D145">
        <v>14</v>
      </c>
      <c r="E145">
        <v>13</v>
      </c>
      <c r="F145">
        <v>11</v>
      </c>
      <c r="G145">
        <v>11</v>
      </c>
      <c r="H145">
        <v>10</v>
      </c>
      <c r="I145">
        <v>12</v>
      </c>
      <c r="J145">
        <v>15</v>
      </c>
      <c r="K145">
        <v>18</v>
      </c>
      <c r="L145">
        <v>17</v>
      </c>
      <c r="M145">
        <v>19</v>
      </c>
      <c r="N145">
        <v>24</v>
      </c>
      <c r="O145">
        <v>14</v>
      </c>
      <c r="P145">
        <v>27</v>
      </c>
      <c r="Q145">
        <v>24</v>
      </c>
      <c r="R145">
        <v>25</v>
      </c>
      <c r="S145">
        <v>26</v>
      </c>
      <c r="T145">
        <v>18</v>
      </c>
      <c r="U145">
        <v>18</v>
      </c>
      <c r="V145">
        <f>MAX(A145:U145)</f>
        <v>27</v>
      </c>
      <c r="W145" s="4" t="s">
        <v>221</v>
      </c>
      <c r="X145">
        <v>3.1422481128343311E-4</v>
      </c>
      <c r="Y145">
        <v>32.15</v>
      </c>
      <c r="Z145" t="s">
        <v>163</v>
      </c>
      <c r="AA145">
        <v>77.2</v>
      </c>
      <c r="AB145">
        <v>51</v>
      </c>
      <c r="AC145">
        <v>23.6</v>
      </c>
      <c r="AD145">
        <v>12</v>
      </c>
      <c r="AE145">
        <v>1715</v>
      </c>
      <c r="AF145">
        <v>31.6</v>
      </c>
      <c r="AG145">
        <v>36.299999999999997</v>
      </c>
      <c r="AH145">
        <v>24.8</v>
      </c>
      <c r="AI145">
        <v>48.9</v>
      </c>
      <c r="AJ145">
        <v>16.600000000000001</v>
      </c>
      <c r="AK145">
        <v>20.8</v>
      </c>
      <c r="AL145">
        <v>15</v>
      </c>
      <c r="AM145">
        <v>20.9</v>
      </c>
      <c r="AN145">
        <v>25.8</v>
      </c>
      <c r="AO145">
        <v>39.75</v>
      </c>
      <c r="AP145">
        <v>46.75</v>
      </c>
      <c r="AQ145">
        <v>46.1</v>
      </c>
      <c r="AR145">
        <v>173</v>
      </c>
      <c r="AS145" t="s">
        <v>46</v>
      </c>
      <c r="AT145" t="s">
        <v>315</v>
      </c>
      <c r="AU145" t="s">
        <v>321</v>
      </c>
      <c r="AV145" t="s">
        <v>52</v>
      </c>
      <c r="AW145" t="s">
        <v>317</v>
      </c>
      <c r="AX145" t="s">
        <v>318</v>
      </c>
      <c r="AY145">
        <v>4.1000000000000002E-2</v>
      </c>
      <c r="AZ145">
        <v>8.8780000000000001</v>
      </c>
      <c r="BA145">
        <v>0.63048999999999999</v>
      </c>
      <c r="BB145">
        <v>3.44692</v>
      </c>
      <c r="BC145">
        <v>2.46</v>
      </c>
      <c r="BD145">
        <v>2.6405059185989899</v>
      </c>
      <c r="BE145" t="s">
        <v>319</v>
      </c>
      <c r="BF145" t="s">
        <v>320</v>
      </c>
    </row>
    <row r="146" spans="1:58" customFormat="1" x14ac:dyDescent="0.35">
      <c r="A146">
        <v>59</v>
      </c>
      <c r="B146">
        <v>42</v>
      </c>
      <c r="C146">
        <v>42</v>
      </c>
      <c r="D146">
        <v>42</v>
      </c>
      <c r="E146">
        <v>41</v>
      </c>
      <c r="F146">
        <v>40</v>
      </c>
      <c r="G146">
        <v>40</v>
      </c>
      <c r="H146">
        <v>41</v>
      </c>
      <c r="I146">
        <v>40</v>
      </c>
      <c r="J146">
        <v>41</v>
      </c>
      <c r="K146">
        <v>41</v>
      </c>
      <c r="L146">
        <v>40</v>
      </c>
      <c r="M146">
        <v>41</v>
      </c>
      <c r="N146">
        <v>42</v>
      </c>
      <c r="O146">
        <v>40</v>
      </c>
      <c r="P146">
        <v>41</v>
      </c>
      <c r="Q146">
        <v>43</v>
      </c>
      <c r="R146">
        <v>43</v>
      </c>
      <c r="S146">
        <v>44</v>
      </c>
      <c r="T146">
        <v>45</v>
      </c>
      <c r="U146">
        <v>45</v>
      </c>
      <c r="V146">
        <f>MAX(A146:U146)</f>
        <v>59</v>
      </c>
      <c r="W146" s="4" t="s">
        <v>222</v>
      </c>
      <c r="X146">
        <v>5.5978564367707637E-2</v>
      </c>
      <c r="Y146">
        <v>15.87</v>
      </c>
      <c r="Z146" t="s">
        <v>223</v>
      </c>
      <c r="AA146">
        <v>54.7</v>
      </c>
      <c r="AB146">
        <v>51</v>
      </c>
      <c r="AC146">
        <v>28.7</v>
      </c>
      <c r="AD146">
        <v>4.5</v>
      </c>
      <c r="AE146">
        <v>1195</v>
      </c>
      <c r="AF146">
        <v>26</v>
      </c>
      <c r="AG146">
        <v>28.9</v>
      </c>
      <c r="AH146">
        <v>20.2</v>
      </c>
      <c r="AI146">
        <v>38.5</v>
      </c>
      <c r="AJ146">
        <v>24.4</v>
      </c>
      <c r="AK146">
        <v>38.9</v>
      </c>
      <c r="AL146">
        <v>20.5</v>
      </c>
      <c r="AM146">
        <v>32.799999999999997</v>
      </c>
      <c r="AN146">
        <v>21.6</v>
      </c>
      <c r="AO146">
        <v>37.25</v>
      </c>
      <c r="AP146">
        <v>43.3</v>
      </c>
      <c r="AQ146">
        <v>41.9</v>
      </c>
      <c r="AR146">
        <v>159</v>
      </c>
      <c r="AS146" t="s">
        <v>49</v>
      </c>
      <c r="AT146" t="s">
        <v>315</v>
      </c>
      <c r="AU146" t="s">
        <v>321</v>
      </c>
      <c r="AV146" t="s">
        <v>47</v>
      </c>
      <c r="AW146" t="s">
        <v>317</v>
      </c>
      <c r="AX146" t="s">
        <v>323</v>
      </c>
      <c r="AY146">
        <v>-5.0000000000000001E-3</v>
      </c>
      <c r="AZ146">
        <v>43.481000000000002</v>
      </c>
      <c r="BA146">
        <v>2.0250000000000001E-2</v>
      </c>
      <c r="BB146">
        <v>3.9429799999999999</v>
      </c>
      <c r="BC146">
        <v>-0.3</v>
      </c>
      <c r="BD146">
        <v>1.16555861845305</v>
      </c>
      <c r="BE146" t="s">
        <v>329</v>
      </c>
      <c r="BF146" t="s">
        <v>320</v>
      </c>
    </row>
    <row r="147" spans="1:58" customFormat="1" x14ac:dyDescent="0.35">
      <c r="A147">
        <v>10</v>
      </c>
      <c r="B147">
        <v>10</v>
      </c>
      <c r="C147">
        <v>10</v>
      </c>
      <c r="D147">
        <v>14</v>
      </c>
      <c r="E147">
        <v>14</v>
      </c>
      <c r="F147">
        <v>15</v>
      </c>
      <c r="G147">
        <v>15</v>
      </c>
      <c r="H147">
        <v>14</v>
      </c>
      <c r="I147">
        <v>10</v>
      </c>
      <c r="J147">
        <v>15</v>
      </c>
      <c r="K147">
        <v>15</v>
      </c>
      <c r="L147">
        <v>17</v>
      </c>
      <c r="M147">
        <v>17</v>
      </c>
      <c r="N147">
        <v>17</v>
      </c>
      <c r="O147">
        <v>10</v>
      </c>
      <c r="P147">
        <v>16</v>
      </c>
      <c r="Q147">
        <v>19</v>
      </c>
      <c r="R147">
        <v>20</v>
      </c>
      <c r="S147">
        <v>20</v>
      </c>
      <c r="T147">
        <v>20</v>
      </c>
      <c r="U147">
        <v>20</v>
      </c>
      <c r="V147">
        <f>MAX(A147:U147)</f>
        <v>20</v>
      </c>
      <c r="W147" s="4" t="s">
        <v>224</v>
      </c>
      <c r="X147">
        <v>1.004153552246072E-7</v>
      </c>
      <c r="Y147">
        <v>12.22</v>
      </c>
      <c r="Z147">
        <v>16</v>
      </c>
      <c r="AA147">
        <v>68.599999999999994</v>
      </c>
      <c r="AB147">
        <v>68</v>
      </c>
      <c r="AC147">
        <v>31.4</v>
      </c>
      <c r="AD147">
        <v>13.5</v>
      </c>
      <c r="AE147">
        <v>1522</v>
      </c>
      <c r="AF147">
        <v>26.2</v>
      </c>
      <c r="AG147">
        <v>33.6</v>
      </c>
      <c r="AH147">
        <v>18.399999999999999</v>
      </c>
      <c r="AI147">
        <v>43.7</v>
      </c>
      <c r="AJ147">
        <v>21.4</v>
      </c>
      <c r="AK147">
        <v>28</v>
      </c>
      <c r="AL147">
        <v>19.100000000000001</v>
      </c>
      <c r="AM147">
        <v>28.7</v>
      </c>
      <c r="AN147">
        <v>24.9</v>
      </c>
      <c r="AO147">
        <v>38.25</v>
      </c>
      <c r="AP147">
        <v>46.85</v>
      </c>
      <c r="AQ147">
        <v>46.55</v>
      </c>
      <c r="AR147">
        <v>166</v>
      </c>
      <c r="AS147" t="s">
        <v>46</v>
      </c>
      <c r="AT147" t="s">
        <v>315</v>
      </c>
      <c r="AU147" t="s">
        <v>322</v>
      </c>
      <c r="AV147" t="s">
        <v>47</v>
      </c>
      <c r="AW147" t="s">
        <v>326</v>
      </c>
      <c r="AX147" t="s">
        <v>323</v>
      </c>
      <c r="AY147">
        <v>2.5999999999999999E-2</v>
      </c>
      <c r="AZ147">
        <v>10.388999999999999</v>
      </c>
      <c r="BA147">
        <v>0.64954000000000001</v>
      </c>
      <c r="BB147">
        <v>2.0692400000000002</v>
      </c>
      <c r="BC147">
        <v>1.5599999999999901</v>
      </c>
      <c r="BD147">
        <v>1.9691908545484</v>
      </c>
      <c r="BE147" t="s">
        <v>319</v>
      </c>
      <c r="BF147" t="s">
        <v>320</v>
      </c>
    </row>
    <row r="148" spans="1:58" customFormat="1" x14ac:dyDescent="0.35">
      <c r="A148">
        <v>36</v>
      </c>
      <c r="B148">
        <v>36</v>
      </c>
      <c r="C148">
        <v>36</v>
      </c>
      <c r="D148">
        <v>35</v>
      </c>
      <c r="E148">
        <v>39</v>
      </c>
      <c r="F148">
        <v>41</v>
      </c>
      <c r="G148">
        <v>42</v>
      </c>
      <c r="H148">
        <v>33</v>
      </c>
      <c r="I148">
        <v>33</v>
      </c>
      <c r="J148">
        <v>36</v>
      </c>
      <c r="K148">
        <v>32</v>
      </c>
      <c r="L148">
        <v>34</v>
      </c>
      <c r="M148">
        <v>34</v>
      </c>
      <c r="N148">
        <v>35</v>
      </c>
      <c r="O148">
        <v>32</v>
      </c>
      <c r="P148">
        <v>32</v>
      </c>
      <c r="Q148">
        <v>32</v>
      </c>
      <c r="R148">
        <v>33</v>
      </c>
      <c r="S148">
        <v>33</v>
      </c>
      <c r="T148">
        <v>33</v>
      </c>
      <c r="U148">
        <v>35</v>
      </c>
      <c r="V148">
        <f>MAX(A148:U148)</f>
        <v>42</v>
      </c>
      <c r="W148" s="4" t="s">
        <v>225</v>
      </c>
      <c r="X148">
        <v>0.86993757885799039</v>
      </c>
      <c r="Y148">
        <v>7.74</v>
      </c>
      <c r="Z148" t="s">
        <v>192</v>
      </c>
      <c r="AA148">
        <v>66.599999999999994</v>
      </c>
      <c r="AB148">
        <v>45</v>
      </c>
      <c r="AC148">
        <v>32.5</v>
      </c>
      <c r="AD148">
        <v>5</v>
      </c>
      <c r="AE148">
        <v>1365</v>
      </c>
      <c r="AF148">
        <v>25.3</v>
      </c>
      <c r="AG148">
        <v>25.5</v>
      </c>
      <c r="AH148">
        <v>19.2</v>
      </c>
      <c r="AI148">
        <v>37.700000000000003</v>
      </c>
      <c r="AJ148">
        <v>27.3</v>
      </c>
      <c r="AK148">
        <v>44.2</v>
      </c>
      <c r="AL148">
        <v>23.8</v>
      </c>
      <c r="AM148">
        <v>38.299999999999997</v>
      </c>
      <c r="AN148">
        <v>23</v>
      </c>
      <c r="AO148">
        <v>40.35</v>
      </c>
      <c r="AP148">
        <v>50.55</v>
      </c>
      <c r="AQ148">
        <v>45.6</v>
      </c>
      <c r="AR148">
        <v>170</v>
      </c>
      <c r="AS148" t="s">
        <v>49</v>
      </c>
      <c r="AT148" t="s">
        <v>315</v>
      </c>
      <c r="AU148" t="s">
        <v>316</v>
      </c>
      <c r="AV148" t="s">
        <v>47</v>
      </c>
      <c r="AW148" t="s">
        <v>317</v>
      </c>
      <c r="AX148" t="s">
        <v>318</v>
      </c>
      <c r="AY148">
        <v>-1.2999999999999999E-2</v>
      </c>
      <c r="AZ148">
        <v>37.345999999999997</v>
      </c>
      <c r="BA148">
        <v>0.28094999999999998</v>
      </c>
      <c r="BB148">
        <v>2.35934</v>
      </c>
      <c r="BC148">
        <v>-0.77999999999999903</v>
      </c>
      <c r="BD148">
        <v>-6.0321063726284999E-2</v>
      </c>
      <c r="BE148" t="s">
        <v>329</v>
      </c>
      <c r="BF148" t="s">
        <v>320</v>
      </c>
    </row>
    <row r="149" spans="1:58" customFormat="1" x14ac:dyDescent="0.35">
      <c r="A149">
        <v>10</v>
      </c>
      <c r="B149">
        <v>10</v>
      </c>
      <c r="C149">
        <v>10</v>
      </c>
      <c r="D149">
        <v>10</v>
      </c>
      <c r="E149">
        <v>11</v>
      </c>
      <c r="F149">
        <v>10</v>
      </c>
      <c r="G149">
        <v>10</v>
      </c>
      <c r="H149">
        <v>10</v>
      </c>
      <c r="I149">
        <v>10</v>
      </c>
      <c r="J149">
        <v>10</v>
      </c>
      <c r="K149">
        <v>10</v>
      </c>
      <c r="L149">
        <v>11</v>
      </c>
      <c r="M149">
        <v>11</v>
      </c>
      <c r="N149">
        <v>11</v>
      </c>
      <c r="O149">
        <v>10</v>
      </c>
      <c r="P149">
        <v>10</v>
      </c>
      <c r="Q149">
        <v>10</v>
      </c>
      <c r="R149">
        <v>11</v>
      </c>
      <c r="S149">
        <v>11</v>
      </c>
      <c r="T149">
        <v>13</v>
      </c>
      <c r="U149">
        <v>13</v>
      </c>
      <c r="V149">
        <f>MAX(A149:U149)</f>
        <v>13</v>
      </c>
      <c r="W149" s="4" t="s">
        <v>227</v>
      </c>
      <c r="X149">
        <v>7.469640951146049E-2</v>
      </c>
      <c r="Y149">
        <v>0.82</v>
      </c>
      <c r="Z149">
        <v>20</v>
      </c>
      <c r="AA149">
        <v>77.5</v>
      </c>
      <c r="AB149">
        <v>46</v>
      </c>
      <c r="AC149">
        <v>39.1</v>
      </c>
      <c r="AD149">
        <v>13.5</v>
      </c>
      <c r="AE149">
        <v>1493</v>
      </c>
      <c r="AF149">
        <v>22.4</v>
      </c>
      <c r="AG149">
        <v>19.8</v>
      </c>
      <c r="AH149">
        <v>15.7</v>
      </c>
      <c r="AI149">
        <v>36.4</v>
      </c>
      <c r="AJ149">
        <v>36.4</v>
      </c>
      <c r="AK149">
        <v>51.7</v>
      </c>
      <c r="AL149">
        <v>32.1</v>
      </c>
      <c r="AM149">
        <v>48.5</v>
      </c>
      <c r="AN149">
        <v>31</v>
      </c>
      <c r="AO149">
        <v>44.7</v>
      </c>
      <c r="AP149">
        <v>48.85</v>
      </c>
      <c r="AQ149">
        <v>42.95</v>
      </c>
      <c r="AR149">
        <v>158</v>
      </c>
      <c r="AS149" t="s">
        <v>49</v>
      </c>
      <c r="AT149" t="s">
        <v>315</v>
      </c>
      <c r="AU149" t="s">
        <v>316</v>
      </c>
      <c r="AV149" t="s">
        <v>52</v>
      </c>
      <c r="AW149" t="s">
        <v>317</v>
      </c>
      <c r="AX149" t="s">
        <v>323</v>
      </c>
      <c r="AY149">
        <v>5.0000000000000001E-3</v>
      </c>
      <c r="AZ149">
        <v>9.593</v>
      </c>
      <c r="BA149">
        <v>0.41198000000000001</v>
      </c>
      <c r="BB149">
        <v>0.69282999999999995</v>
      </c>
      <c r="BC149">
        <v>0.3</v>
      </c>
      <c r="BD149">
        <v>0.585698070374574</v>
      </c>
      <c r="BE149" t="s">
        <v>319</v>
      </c>
      <c r="BF149" t="s">
        <v>320</v>
      </c>
    </row>
    <row r="150" spans="1:58" customFormat="1" x14ac:dyDescent="0.35">
      <c r="A150">
        <v>10</v>
      </c>
      <c r="B150">
        <v>10</v>
      </c>
      <c r="C150">
        <v>10</v>
      </c>
      <c r="D150">
        <v>10</v>
      </c>
      <c r="E150">
        <v>10</v>
      </c>
      <c r="F150">
        <v>10</v>
      </c>
      <c r="G150">
        <v>10</v>
      </c>
      <c r="H150">
        <v>10</v>
      </c>
      <c r="I150">
        <v>10</v>
      </c>
      <c r="J150">
        <v>10</v>
      </c>
      <c r="K150">
        <v>10</v>
      </c>
      <c r="L150">
        <v>10</v>
      </c>
      <c r="M150">
        <v>14</v>
      </c>
      <c r="N150">
        <v>12</v>
      </c>
      <c r="O150">
        <v>10</v>
      </c>
      <c r="P150">
        <v>12</v>
      </c>
      <c r="Q150">
        <v>12</v>
      </c>
      <c r="R150">
        <v>12</v>
      </c>
      <c r="S150">
        <v>14</v>
      </c>
      <c r="T150">
        <v>14</v>
      </c>
      <c r="U150">
        <v>12</v>
      </c>
      <c r="V150">
        <f>MAX(A150:U150)</f>
        <v>14</v>
      </c>
      <c r="W150" s="4" t="s">
        <v>228</v>
      </c>
      <c r="X150">
        <v>6.5433985517167979E-3</v>
      </c>
      <c r="Y150">
        <v>2.14</v>
      </c>
      <c r="Z150">
        <v>29</v>
      </c>
      <c r="AA150">
        <v>54.2</v>
      </c>
      <c r="AB150">
        <v>48</v>
      </c>
      <c r="AC150">
        <v>25</v>
      </c>
      <c r="AD150">
        <v>3</v>
      </c>
      <c r="AE150">
        <v>1204</v>
      </c>
      <c r="AF150">
        <v>28</v>
      </c>
      <c r="AG150">
        <v>31.3</v>
      </c>
      <c r="AH150">
        <v>22.2</v>
      </c>
      <c r="AI150">
        <v>40.299999999999997</v>
      </c>
      <c r="AJ150">
        <v>21.5</v>
      </c>
      <c r="AK150">
        <v>34.9</v>
      </c>
      <c r="AL150">
        <v>17.3</v>
      </c>
      <c r="AM150">
        <v>29.6</v>
      </c>
      <c r="AN150">
        <v>20.2</v>
      </c>
      <c r="AO150">
        <v>39.1</v>
      </c>
      <c r="AP150">
        <v>48</v>
      </c>
      <c r="AQ150">
        <v>44.3</v>
      </c>
      <c r="AR150">
        <v>164</v>
      </c>
      <c r="AS150" t="s">
        <v>49</v>
      </c>
      <c r="AT150" t="s">
        <v>315</v>
      </c>
      <c r="AU150" t="s">
        <v>322</v>
      </c>
      <c r="AV150" t="s">
        <v>47</v>
      </c>
      <c r="AW150" t="s">
        <v>317</v>
      </c>
      <c r="AX150" t="s">
        <v>323</v>
      </c>
      <c r="AY150">
        <v>0.01</v>
      </c>
      <c r="AZ150">
        <v>9.1999999999999993</v>
      </c>
      <c r="BA150">
        <v>0.55981999999999998</v>
      </c>
      <c r="BB150">
        <v>0.97070000000000001</v>
      </c>
      <c r="BC150">
        <v>0.6</v>
      </c>
      <c r="BD150">
        <v>0.89119507053672697</v>
      </c>
      <c r="BE150" t="s">
        <v>319</v>
      </c>
      <c r="BF150" t="s">
        <v>320</v>
      </c>
    </row>
    <row r="151" spans="1:58" customFormat="1" x14ac:dyDescent="0.35">
      <c r="A151">
        <v>10</v>
      </c>
      <c r="B151">
        <v>14</v>
      </c>
      <c r="C151">
        <v>14</v>
      </c>
      <c r="D151">
        <v>14</v>
      </c>
      <c r="E151">
        <v>16</v>
      </c>
      <c r="F151">
        <v>16</v>
      </c>
      <c r="G151">
        <v>22</v>
      </c>
      <c r="H151">
        <v>16</v>
      </c>
      <c r="I151">
        <v>19</v>
      </c>
      <c r="J151">
        <v>23</v>
      </c>
      <c r="K151">
        <v>26</v>
      </c>
      <c r="L151">
        <v>29</v>
      </c>
      <c r="M151">
        <v>28</v>
      </c>
      <c r="N151">
        <v>25</v>
      </c>
      <c r="O151">
        <v>26</v>
      </c>
      <c r="P151">
        <v>19</v>
      </c>
      <c r="Q151">
        <v>27</v>
      </c>
      <c r="R151">
        <v>28</v>
      </c>
      <c r="S151">
        <v>27</v>
      </c>
      <c r="T151">
        <v>27</v>
      </c>
      <c r="U151">
        <v>28</v>
      </c>
      <c r="V151">
        <f>MAX(A151:U151)</f>
        <v>29</v>
      </c>
      <c r="W151" s="4" t="s">
        <v>229</v>
      </c>
      <c r="X151">
        <v>4.0322125231588118E-5</v>
      </c>
      <c r="Y151">
        <v>34.9</v>
      </c>
      <c r="Z151">
        <v>25</v>
      </c>
      <c r="AA151">
        <v>50.9</v>
      </c>
      <c r="AB151">
        <v>64</v>
      </c>
      <c r="AC151">
        <v>32.799999999999997</v>
      </c>
      <c r="AD151">
        <v>5.5</v>
      </c>
      <c r="AE151">
        <v>1114</v>
      </c>
      <c r="AF151">
        <v>23</v>
      </c>
      <c r="AG151">
        <v>26.2</v>
      </c>
      <c r="AH151">
        <v>17.399999999999999</v>
      </c>
      <c r="AI151">
        <v>35.799999999999997</v>
      </c>
      <c r="AJ151">
        <v>26.9</v>
      </c>
      <c r="AK151">
        <v>42.8</v>
      </c>
      <c r="AL151">
        <v>23.6</v>
      </c>
      <c r="AM151">
        <v>35.1</v>
      </c>
      <c r="AN151">
        <v>22.3</v>
      </c>
      <c r="AO151">
        <v>37.25</v>
      </c>
      <c r="AP151">
        <v>43.75</v>
      </c>
      <c r="AQ151">
        <v>42.35</v>
      </c>
      <c r="AR151">
        <v>151</v>
      </c>
      <c r="AS151" t="s">
        <v>49</v>
      </c>
      <c r="AT151" t="s">
        <v>315</v>
      </c>
      <c r="AU151" t="s">
        <v>322</v>
      </c>
      <c r="AV151" t="s">
        <v>47</v>
      </c>
      <c r="AW151" t="s">
        <v>326</v>
      </c>
      <c r="AX151" t="s">
        <v>323</v>
      </c>
      <c r="AY151">
        <v>4.7E-2</v>
      </c>
      <c r="AZ151">
        <v>12.968</v>
      </c>
      <c r="BA151">
        <v>0.75280999999999998</v>
      </c>
      <c r="BB151">
        <v>2.9372699999999998</v>
      </c>
      <c r="BC151">
        <v>2.82</v>
      </c>
      <c r="BD151">
        <v>1.9147073131182</v>
      </c>
      <c r="BE151" t="s">
        <v>319</v>
      </c>
      <c r="BF151" t="s">
        <v>320</v>
      </c>
    </row>
    <row r="152" spans="1:58" customFormat="1" x14ac:dyDescent="0.35">
      <c r="A152">
        <v>10</v>
      </c>
      <c r="B152">
        <v>10</v>
      </c>
      <c r="C152">
        <v>11</v>
      </c>
      <c r="D152">
        <v>10</v>
      </c>
      <c r="E152">
        <v>10</v>
      </c>
      <c r="F152">
        <v>11</v>
      </c>
      <c r="G152">
        <v>11</v>
      </c>
      <c r="H152">
        <v>10</v>
      </c>
      <c r="I152">
        <v>12</v>
      </c>
      <c r="J152">
        <v>11</v>
      </c>
      <c r="K152">
        <v>11</v>
      </c>
      <c r="L152">
        <v>12</v>
      </c>
      <c r="M152">
        <v>13</v>
      </c>
      <c r="N152">
        <v>11</v>
      </c>
      <c r="O152">
        <v>10</v>
      </c>
      <c r="P152">
        <v>10</v>
      </c>
      <c r="Q152">
        <v>11</v>
      </c>
      <c r="R152">
        <v>12</v>
      </c>
      <c r="S152">
        <v>11</v>
      </c>
      <c r="T152">
        <v>11</v>
      </c>
      <c r="U152">
        <v>11</v>
      </c>
      <c r="V152">
        <f>MAX(A152:U152)</f>
        <v>13</v>
      </c>
      <c r="W152" s="4" t="s">
        <v>230</v>
      </c>
      <c r="X152">
        <v>0.11362990359811161</v>
      </c>
      <c r="Y152">
        <v>0.66</v>
      </c>
      <c r="Z152">
        <v>23</v>
      </c>
      <c r="AA152">
        <v>48.5</v>
      </c>
      <c r="AB152">
        <v>67</v>
      </c>
      <c r="AC152">
        <v>19.899999999999999</v>
      </c>
      <c r="AD152">
        <v>1</v>
      </c>
      <c r="AE152">
        <v>1252</v>
      </c>
      <c r="AF152">
        <v>30.5</v>
      </c>
      <c r="AG152">
        <v>37.5</v>
      </c>
      <c r="AH152">
        <v>24.9</v>
      </c>
      <c r="AI152">
        <v>47.8</v>
      </c>
      <c r="AJ152">
        <v>12.9</v>
      </c>
      <c r="AK152">
        <v>17.100000000000001</v>
      </c>
      <c r="AL152">
        <v>10.7</v>
      </c>
      <c r="AM152">
        <v>16.899999999999999</v>
      </c>
      <c r="AN152">
        <v>16.600000000000001</v>
      </c>
      <c r="AO152">
        <v>35.299999999999997</v>
      </c>
      <c r="AP152">
        <v>42.5</v>
      </c>
      <c r="AQ152">
        <v>48.5</v>
      </c>
      <c r="AR152">
        <v>171</v>
      </c>
      <c r="AS152" t="s">
        <v>46</v>
      </c>
      <c r="AT152" t="s">
        <v>315</v>
      </c>
      <c r="AU152" t="s">
        <v>321</v>
      </c>
      <c r="AV152" t="s">
        <v>47</v>
      </c>
      <c r="AW152" t="s">
        <v>326</v>
      </c>
      <c r="AX152" t="s">
        <v>318</v>
      </c>
      <c r="AY152">
        <v>3.0000000000000001E-3</v>
      </c>
      <c r="AZ152">
        <v>10.41</v>
      </c>
      <c r="BA152">
        <v>0.13075000000000001</v>
      </c>
      <c r="BB152">
        <v>0.75605</v>
      </c>
      <c r="BC152">
        <v>0.18</v>
      </c>
      <c r="BD152">
        <v>-2.3350089184368299E-2</v>
      </c>
      <c r="BE152" t="s">
        <v>319</v>
      </c>
      <c r="BF152" t="s">
        <v>320</v>
      </c>
    </row>
    <row r="153" spans="1:58" customFormat="1" x14ac:dyDescent="0.35">
      <c r="A153">
        <v>10</v>
      </c>
      <c r="B153">
        <v>14</v>
      </c>
      <c r="C153">
        <v>14</v>
      </c>
      <c r="D153">
        <v>16</v>
      </c>
      <c r="E153">
        <v>16</v>
      </c>
      <c r="F153">
        <v>16</v>
      </c>
      <c r="G153">
        <v>16</v>
      </c>
      <c r="H153">
        <v>10</v>
      </c>
      <c r="I153">
        <v>10</v>
      </c>
      <c r="J153">
        <v>16</v>
      </c>
      <c r="K153">
        <v>22</v>
      </c>
      <c r="L153">
        <v>18</v>
      </c>
      <c r="M153">
        <v>22</v>
      </c>
      <c r="N153">
        <v>22</v>
      </c>
      <c r="O153">
        <v>10</v>
      </c>
      <c r="P153">
        <v>16</v>
      </c>
      <c r="Q153">
        <v>16</v>
      </c>
      <c r="R153">
        <v>16</v>
      </c>
      <c r="S153">
        <v>16</v>
      </c>
      <c r="T153">
        <v>16</v>
      </c>
      <c r="U153">
        <v>16</v>
      </c>
      <c r="V153">
        <f>MAX(A153:U153)</f>
        <v>22</v>
      </c>
      <c r="W153" s="4" t="s">
        <v>231</v>
      </c>
      <c r="X153">
        <v>4.697862523227269E-2</v>
      </c>
      <c r="Y153">
        <v>12.43</v>
      </c>
      <c r="Z153" t="s">
        <v>232</v>
      </c>
      <c r="AA153">
        <v>51.5</v>
      </c>
      <c r="AB153">
        <v>60</v>
      </c>
      <c r="AC153">
        <v>32.299999999999997</v>
      </c>
      <c r="AD153">
        <v>2.5</v>
      </c>
      <c r="AE153">
        <v>1129</v>
      </c>
      <c r="AF153">
        <v>24.1</v>
      </c>
      <c r="AG153">
        <v>27.4</v>
      </c>
      <c r="AH153">
        <v>18.899999999999999</v>
      </c>
      <c r="AI153">
        <v>34.9</v>
      </c>
      <c r="AJ153">
        <v>24</v>
      </c>
      <c r="AK153">
        <v>43.3</v>
      </c>
      <c r="AL153">
        <v>21.6</v>
      </c>
      <c r="AM153">
        <v>34.1</v>
      </c>
      <c r="AN153">
        <v>18.7</v>
      </c>
      <c r="AO153">
        <v>38</v>
      </c>
      <c r="AP153">
        <v>45.6</v>
      </c>
      <c r="AQ153">
        <v>48.25</v>
      </c>
      <c r="AR153">
        <v>166</v>
      </c>
      <c r="AS153" t="s">
        <v>49</v>
      </c>
      <c r="AT153" t="s">
        <v>327</v>
      </c>
      <c r="AU153" t="s">
        <v>322</v>
      </c>
      <c r="AV153" t="s">
        <v>47</v>
      </c>
      <c r="AW153" t="s">
        <v>326</v>
      </c>
      <c r="AX153" t="s">
        <v>323</v>
      </c>
      <c r="AY153">
        <v>0.01</v>
      </c>
      <c r="AZ153">
        <v>13.728</v>
      </c>
      <c r="BA153">
        <v>0.10108</v>
      </c>
      <c r="BB153">
        <v>3.34219</v>
      </c>
      <c r="BC153">
        <v>0.6</v>
      </c>
      <c r="BD153">
        <v>0.56429382195556899</v>
      </c>
      <c r="BE153" t="s">
        <v>319</v>
      </c>
      <c r="BF153" t="s">
        <v>320</v>
      </c>
    </row>
    <row r="154" spans="1:58" customFormat="1" x14ac:dyDescent="0.35">
      <c r="A154">
        <v>10</v>
      </c>
      <c r="B154">
        <v>10</v>
      </c>
      <c r="C154">
        <v>13</v>
      </c>
      <c r="D154">
        <v>15</v>
      </c>
      <c r="E154">
        <v>15</v>
      </c>
      <c r="F154">
        <v>15</v>
      </c>
      <c r="G154">
        <v>21</v>
      </c>
      <c r="H154">
        <v>15</v>
      </c>
      <c r="I154">
        <v>24</v>
      </c>
      <c r="J154">
        <v>30</v>
      </c>
      <c r="K154">
        <v>29</v>
      </c>
      <c r="L154">
        <v>30</v>
      </c>
      <c r="M154">
        <v>31</v>
      </c>
      <c r="N154">
        <v>33</v>
      </c>
      <c r="O154">
        <v>33</v>
      </c>
      <c r="P154">
        <v>37</v>
      </c>
      <c r="Q154">
        <v>39</v>
      </c>
      <c r="R154">
        <v>45</v>
      </c>
      <c r="S154">
        <v>45</v>
      </c>
      <c r="T154">
        <v>45</v>
      </c>
      <c r="U154">
        <v>45</v>
      </c>
      <c r="V154">
        <f>MAX(A154:U154)</f>
        <v>45</v>
      </c>
      <c r="W154" s="4" t="s">
        <v>233</v>
      </c>
      <c r="X154">
        <v>7.6641779123580054E-8</v>
      </c>
      <c r="Y154">
        <v>144.62</v>
      </c>
      <c r="Z154" t="s">
        <v>192</v>
      </c>
      <c r="AA154">
        <v>73.099999999999994</v>
      </c>
      <c r="AB154">
        <v>65</v>
      </c>
      <c r="AC154">
        <v>26.1</v>
      </c>
      <c r="AD154">
        <v>12.5</v>
      </c>
      <c r="AE154">
        <v>1626</v>
      </c>
      <c r="AF154">
        <v>29.3</v>
      </c>
      <c r="AG154">
        <v>35</v>
      </c>
      <c r="AH154">
        <v>22.3</v>
      </c>
      <c r="AI154">
        <v>46.7</v>
      </c>
      <c r="AJ154">
        <v>18</v>
      </c>
      <c r="AK154">
        <v>22.7</v>
      </c>
      <c r="AL154">
        <v>16.2</v>
      </c>
      <c r="AM154">
        <v>23</v>
      </c>
      <c r="AN154">
        <v>24.7</v>
      </c>
      <c r="AO154">
        <v>38.200000000000003</v>
      </c>
      <c r="AP154">
        <v>46.25</v>
      </c>
      <c r="AQ154">
        <v>49.6</v>
      </c>
      <c r="AR154">
        <v>172</v>
      </c>
      <c r="AS154" t="s">
        <v>46</v>
      </c>
      <c r="AT154" t="s">
        <v>330</v>
      </c>
      <c r="AU154" t="s">
        <v>322</v>
      </c>
      <c r="AV154" t="s">
        <v>47</v>
      </c>
      <c r="AW154" t="s">
        <v>326</v>
      </c>
      <c r="AX154" t="s">
        <v>318</v>
      </c>
      <c r="AY154">
        <v>0.108</v>
      </c>
      <c r="AZ154">
        <v>7.7</v>
      </c>
      <c r="BA154">
        <v>0.96325000000000005</v>
      </c>
      <c r="BB154">
        <v>2.3054299999999999</v>
      </c>
      <c r="BC154">
        <v>6.4799999999999898</v>
      </c>
      <c r="BD154">
        <v>6.6800713474947297</v>
      </c>
      <c r="BE154" t="s">
        <v>319</v>
      </c>
      <c r="BF154" t="s">
        <v>324</v>
      </c>
    </row>
    <row r="155" spans="1:58" customFormat="1" x14ac:dyDescent="0.35">
      <c r="A155">
        <v>10</v>
      </c>
      <c r="B155">
        <v>10</v>
      </c>
      <c r="C155">
        <v>12</v>
      </c>
      <c r="D155">
        <v>12</v>
      </c>
      <c r="E155">
        <v>12</v>
      </c>
      <c r="F155">
        <v>12</v>
      </c>
      <c r="G155">
        <v>12</v>
      </c>
      <c r="H155">
        <v>10</v>
      </c>
      <c r="I155">
        <v>10</v>
      </c>
      <c r="J155">
        <v>10</v>
      </c>
      <c r="K155">
        <v>10</v>
      </c>
      <c r="L155">
        <v>10</v>
      </c>
      <c r="M155">
        <v>11</v>
      </c>
      <c r="N155">
        <v>11</v>
      </c>
      <c r="O155">
        <v>10</v>
      </c>
      <c r="P155">
        <v>11</v>
      </c>
      <c r="Q155">
        <v>11</v>
      </c>
      <c r="R155">
        <v>11</v>
      </c>
      <c r="S155">
        <v>11</v>
      </c>
      <c r="T155">
        <v>11</v>
      </c>
      <c r="U155">
        <v>11</v>
      </c>
      <c r="V155">
        <f>MAX(A155:U155)</f>
        <v>12</v>
      </c>
      <c r="W155" s="4" t="s">
        <v>234</v>
      </c>
      <c r="X155">
        <v>0.91578964644237182</v>
      </c>
      <c r="Y155">
        <v>0.6</v>
      </c>
      <c r="Z155">
        <v>28</v>
      </c>
      <c r="AA155">
        <v>76.900000000000006</v>
      </c>
      <c r="AB155">
        <v>64</v>
      </c>
      <c r="AC155">
        <v>35.200000000000003</v>
      </c>
      <c r="AD155">
        <v>19.5</v>
      </c>
      <c r="AE155">
        <v>1630</v>
      </c>
      <c r="AF155">
        <v>24.8</v>
      </c>
      <c r="AG155">
        <v>32.299999999999997</v>
      </c>
      <c r="AH155">
        <v>16.3</v>
      </c>
      <c r="AI155">
        <v>42.4</v>
      </c>
      <c r="AJ155">
        <v>24.3</v>
      </c>
      <c r="AK155">
        <v>32.700000000000003</v>
      </c>
      <c r="AL155">
        <v>22.2</v>
      </c>
      <c r="AM155">
        <v>33.6</v>
      </c>
      <c r="AN155">
        <v>28.9</v>
      </c>
      <c r="AO155">
        <v>40.950000000000003</v>
      </c>
      <c r="AP155">
        <v>42.85</v>
      </c>
      <c r="AQ155">
        <v>45.1</v>
      </c>
      <c r="AR155">
        <v>163</v>
      </c>
      <c r="AS155" t="s">
        <v>46</v>
      </c>
      <c r="AT155" t="s">
        <v>315</v>
      </c>
      <c r="AU155" t="s">
        <v>322</v>
      </c>
      <c r="AV155" t="s">
        <v>52</v>
      </c>
      <c r="AW155" t="s">
        <v>326</v>
      </c>
      <c r="AX155" t="s">
        <v>323</v>
      </c>
      <c r="AY155">
        <v>-1E-3</v>
      </c>
      <c r="AZ155">
        <v>10.96</v>
      </c>
      <c r="BA155">
        <v>6.1799999999999997E-3</v>
      </c>
      <c r="BB155">
        <v>0.77132000000000001</v>
      </c>
      <c r="BC155">
        <v>-0.06</v>
      </c>
      <c r="BD155">
        <v>0.31911788551970099</v>
      </c>
      <c r="BE155" t="s">
        <v>329</v>
      </c>
      <c r="BF155" t="s">
        <v>320</v>
      </c>
    </row>
    <row r="156" spans="1:58" customFormat="1" x14ac:dyDescent="0.35">
      <c r="A156">
        <v>10</v>
      </c>
      <c r="B156">
        <v>10</v>
      </c>
      <c r="C156">
        <v>12</v>
      </c>
      <c r="D156">
        <v>12</v>
      </c>
      <c r="E156">
        <v>12</v>
      </c>
      <c r="F156">
        <v>12</v>
      </c>
      <c r="G156">
        <v>12</v>
      </c>
      <c r="H156">
        <v>12</v>
      </c>
      <c r="I156">
        <v>12</v>
      </c>
      <c r="J156">
        <v>14</v>
      </c>
      <c r="K156">
        <v>16</v>
      </c>
      <c r="L156">
        <v>16</v>
      </c>
      <c r="M156">
        <v>16</v>
      </c>
      <c r="N156">
        <v>16</v>
      </c>
      <c r="O156">
        <v>16</v>
      </c>
      <c r="P156">
        <v>16</v>
      </c>
      <c r="Q156">
        <v>16</v>
      </c>
      <c r="R156">
        <v>16</v>
      </c>
      <c r="S156">
        <v>16</v>
      </c>
      <c r="T156">
        <v>16</v>
      </c>
      <c r="U156">
        <v>16</v>
      </c>
      <c r="V156">
        <f>MAX(A156:U156)</f>
        <v>16</v>
      </c>
      <c r="W156" s="4" t="s">
        <v>235</v>
      </c>
      <c r="X156">
        <v>1.399610611217845E-4</v>
      </c>
      <c r="Y156">
        <v>4.95</v>
      </c>
      <c r="Z156" t="s">
        <v>236</v>
      </c>
      <c r="AA156">
        <v>81.2</v>
      </c>
      <c r="AB156">
        <v>70</v>
      </c>
      <c r="AC156">
        <v>32.5</v>
      </c>
      <c r="AD156">
        <v>18.5</v>
      </c>
      <c r="AE156">
        <v>1714</v>
      </c>
      <c r="AF156">
        <v>26.4</v>
      </c>
      <c r="AG156">
        <v>33.1</v>
      </c>
      <c r="AH156">
        <v>18.3</v>
      </c>
      <c r="AI156">
        <v>43.9</v>
      </c>
      <c r="AJ156">
        <v>22.5</v>
      </c>
      <c r="AK156">
        <v>28.8</v>
      </c>
      <c r="AL156">
        <v>20.5</v>
      </c>
      <c r="AM156">
        <v>29.6</v>
      </c>
      <c r="AN156">
        <v>28.1</v>
      </c>
      <c r="AO156">
        <v>39.35</v>
      </c>
      <c r="AP156">
        <v>48</v>
      </c>
      <c r="AQ156">
        <v>46.8</v>
      </c>
      <c r="AR156">
        <v>170</v>
      </c>
      <c r="AS156" t="s">
        <v>46</v>
      </c>
      <c r="AT156" t="s">
        <v>330</v>
      </c>
      <c r="AU156" t="s">
        <v>321</v>
      </c>
      <c r="AV156" t="s">
        <v>52</v>
      </c>
      <c r="AW156" t="s">
        <v>326</v>
      </c>
      <c r="AX156" t="s">
        <v>318</v>
      </c>
      <c r="AY156">
        <v>1.7999999999999999E-2</v>
      </c>
      <c r="AZ156">
        <v>10.598000000000001</v>
      </c>
      <c r="BA156">
        <v>0.82035000000000002</v>
      </c>
      <c r="BB156">
        <v>0.94323999999999997</v>
      </c>
      <c r="BC156">
        <v>1.0799999999999901</v>
      </c>
      <c r="BD156">
        <v>0.82892816604507802</v>
      </c>
      <c r="BE156" t="s">
        <v>319</v>
      </c>
      <c r="BF156" t="s">
        <v>320</v>
      </c>
    </row>
    <row r="157" spans="1:58" customFormat="1" x14ac:dyDescent="0.35">
      <c r="A157">
        <v>10</v>
      </c>
      <c r="B157">
        <v>10</v>
      </c>
      <c r="C157">
        <v>10</v>
      </c>
      <c r="D157">
        <v>10</v>
      </c>
      <c r="E157">
        <v>10</v>
      </c>
      <c r="F157">
        <v>12</v>
      </c>
      <c r="G157">
        <v>10</v>
      </c>
      <c r="H157">
        <v>10</v>
      </c>
      <c r="I157">
        <v>10</v>
      </c>
      <c r="J157">
        <v>10</v>
      </c>
      <c r="K157">
        <v>15</v>
      </c>
      <c r="L157">
        <v>12</v>
      </c>
      <c r="M157">
        <v>14</v>
      </c>
      <c r="N157">
        <v>12</v>
      </c>
      <c r="O157">
        <v>14</v>
      </c>
      <c r="P157">
        <v>20</v>
      </c>
      <c r="Q157">
        <v>19</v>
      </c>
      <c r="R157">
        <v>19</v>
      </c>
      <c r="S157">
        <v>19</v>
      </c>
      <c r="T157">
        <v>19</v>
      </c>
      <c r="U157">
        <v>19</v>
      </c>
      <c r="V157">
        <f>MAX(A157:U157)</f>
        <v>20</v>
      </c>
      <c r="W157" s="4" t="s">
        <v>237</v>
      </c>
      <c r="X157">
        <v>1.287922839439479E-3</v>
      </c>
      <c r="Y157">
        <v>14.92</v>
      </c>
      <c r="Z157">
        <v>28</v>
      </c>
      <c r="AA157">
        <v>63.4</v>
      </c>
      <c r="AB157">
        <v>38</v>
      </c>
      <c r="AC157">
        <v>13.7</v>
      </c>
      <c r="AD157">
        <v>5</v>
      </c>
      <c r="AE157">
        <v>1541</v>
      </c>
      <c r="AF157">
        <v>36.1</v>
      </c>
      <c r="AG157">
        <v>40.1</v>
      </c>
      <c r="AH157">
        <v>30.9</v>
      </c>
      <c r="AI157">
        <v>53.2</v>
      </c>
      <c r="AJ157">
        <v>9.6999999999999993</v>
      </c>
      <c r="AK157">
        <v>13.9</v>
      </c>
      <c r="AL157">
        <v>8.3000000000000007</v>
      </c>
      <c r="AM157">
        <v>12.9</v>
      </c>
      <c r="AN157">
        <v>20.7</v>
      </c>
      <c r="AO157">
        <v>35.200000000000003</v>
      </c>
      <c r="AP157">
        <v>43.3</v>
      </c>
      <c r="AQ157">
        <v>47.9</v>
      </c>
      <c r="AR157">
        <v>175</v>
      </c>
      <c r="AS157" t="s">
        <v>46</v>
      </c>
      <c r="AT157" t="s">
        <v>315</v>
      </c>
      <c r="AU157" t="s">
        <v>321</v>
      </c>
      <c r="AV157" t="s">
        <v>47</v>
      </c>
      <c r="AW157" t="s">
        <v>317</v>
      </c>
      <c r="AX157" t="s">
        <v>318</v>
      </c>
      <c r="AY157">
        <v>3.1E-2</v>
      </c>
      <c r="AZ157">
        <v>7.8170000000000002</v>
      </c>
      <c r="BA157">
        <v>0.76671999999999996</v>
      </c>
      <c r="BB157">
        <v>1.8653599999999999</v>
      </c>
      <c r="BC157">
        <v>1.8599999999999901</v>
      </c>
      <c r="BD157">
        <v>2.6891519377330901</v>
      </c>
      <c r="BE157" t="s">
        <v>319</v>
      </c>
      <c r="BF157" t="s">
        <v>320</v>
      </c>
    </row>
    <row r="158" spans="1:58" customFormat="1" x14ac:dyDescent="0.35">
      <c r="A158">
        <v>10</v>
      </c>
      <c r="B158">
        <v>10</v>
      </c>
      <c r="C158">
        <v>14</v>
      </c>
      <c r="D158">
        <v>14</v>
      </c>
      <c r="E158">
        <v>14</v>
      </c>
      <c r="F158">
        <v>14</v>
      </c>
      <c r="G158">
        <v>22</v>
      </c>
      <c r="H158">
        <v>22</v>
      </c>
      <c r="I158">
        <v>26</v>
      </c>
      <c r="J158">
        <v>26</v>
      </c>
      <c r="K158">
        <v>26</v>
      </c>
      <c r="L158">
        <v>26</v>
      </c>
      <c r="M158">
        <v>26</v>
      </c>
      <c r="N158">
        <v>26</v>
      </c>
      <c r="O158">
        <v>24</v>
      </c>
      <c r="P158">
        <v>27</v>
      </c>
      <c r="Q158">
        <v>27</v>
      </c>
      <c r="R158">
        <v>27</v>
      </c>
      <c r="S158">
        <v>27</v>
      </c>
      <c r="T158">
        <v>27</v>
      </c>
      <c r="U158">
        <v>27</v>
      </c>
      <c r="V158">
        <f>MAX(A158:U158)</f>
        <v>27</v>
      </c>
      <c r="W158" s="4" t="s">
        <v>238</v>
      </c>
      <c r="X158">
        <v>2.310217426113822E-6</v>
      </c>
      <c r="Y158">
        <v>37.81</v>
      </c>
      <c r="Z158">
        <v>20</v>
      </c>
      <c r="AA158">
        <v>44.6</v>
      </c>
      <c r="AB158">
        <v>54</v>
      </c>
      <c r="AC158">
        <v>24.1</v>
      </c>
      <c r="AD158">
        <v>2</v>
      </c>
      <c r="AE158">
        <v>1048</v>
      </c>
      <c r="AF158">
        <v>26.6</v>
      </c>
      <c r="AG158">
        <v>31.8</v>
      </c>
      <c r="AH158">
        <v>21.5</v>
      </c>
      <c r="AI158">
        <v>38.799999999999997</v>
      </c>
      <c r="AJ158">
        <v>19.8</v>
      </c>
      <c r="AK158">
        <v>33.700000000000003</v>
      </c>
      <c r="AL158">
        <v>15.9</v>
      </c>
      <c r="AM158">
        <v>27.6</v>
      </c>
      <c r="AN158">
        <v>18.600000000000001</v>
      </c>
      <c r="AO158">
        <v>35</v>
      </c>
      <c r="AP158">
        <v>44.7</v>
      </c>
      <c r="AQ158">
        <v>40.75</v>
      </c>
      <c r="AR158">
        <v>155</v>
      </c>
      <c r="AS158" t="s">
        <v>49</v>
      </c>
      <c r="AT158" t="s">
        <v>315</v>
      </c>
      <c r="AU158" t="s">
        <v>321</v>
      </c>
      <c r="AV158" t="s">
        <v>47</v>
      </c>
      <c r="AW158" t="s">
        <v>326</v>
      </c>
      <c r="AX158" t="s">
        <v>323</v>
      </c>
      <c r="AY158">
        <v>4.9000000000000002E-2</v>
      </c>
      <c r="AZ158">
        <v>12.983000000000001</v>
      </c>
      <c r="BA158">
        <v>0.75507000000000002</v>
      </c>
      <c r="BB158">
        <v>3.0431499999999998</v>
      </c>
      <c r="BC158">
        <v>2.94</v>
      </c>
      <c r="BD158">
        <v>0.71606940165396404</v>
      </c>
      <c r="BE158" t="s">
        <v>319</v>
      </c>
      <c r="BF158" t="s">
        <v>320</v>
      </c>
    </row>
    <row r="159" spans="1:58" customFormat="1" x14ac:dyDescent="0.35">
      <c r="A159">
        <v>10</v>
      </c>
      <c r="B159">
        <v>10</v>
      </c>
      <c r="C159">
        <v>10</v>
      </c>
      <c r="D159">
        <v>12</v>
      </c>
      <c r="E159">
        <v>12</v>
      </c>
      <c r="F159">
        <v>12</v>
      </c>
      <c r="G159">
        <v>12</v>
      </c>
      <c r="H159">
        <v>10</v>
      </c>
      <c r="I159">
        <v>10</v>
      </c>
      <c r="J159">
        <v>10</v>
      </c>
      <c r="K159">
        <v>12</v>
      </c>
      <c r="L159">
        <v>12</v>
      </c>
      <c r="M159">
        <v>10</v>
      </c>
      <c r="N159">
        <v>12</v>
      </c>
      <c r="O159">
        <v>12</v>
      </c>
      <c r="P159">
        <v>12</v>
      </c>
      <c r="Q159">
        <v>12</v>
      </c>
      <c r="R159">
        <v>12</v>
      </c>
      <c r="S159">
        <v>14</v>
      </c>
      <c r="T159">
        <v>14</v>
      </c>
      <c r="U159">
        <v>14</v>
      </c>
      <c r="V159">
        <f>MAX(A159:U159)</f>
        <v>14</v>
      </c>
      <c r="W159" s="4" t="s">
        <v>239</v>
      </c>
      <c r="X159">
        <v>2.424111706123459E-2</v>
      </c>
      <c r="Y159">
        <v>1.76</v>
      </c>
      <c r="Z159">
        <v>17</v>
      </c>
      <c r="AA159">
        <v>85.4</v>
      </c>
      <c r="AB159">
        <v>43</v>
      </c>
      <c r="AC159">
        <v>25.8</v>
      </c>
      <c r="AD159">
        <v>16</v>
      </c>
      <c r="AE159">
        <v>1837</v>
      </c>
      <c r="AF159">
        <v>31.2</v>
      </c>
      <c r="AG159">
        <v>35.1</v>
      </c>
      <c r="AH159">
        <v>23.8</v>
      </c>
      <c r="AI159">
        <v>48.5</v>
      </c>
      <c r="AJ159">
        <v>18.600000000000001</v>
      </c>
      <c r="AK159">
        <v>22.8</v>
      </c>
      <c r="AL159">
        <v>17.2</v>
      </c>
      <c r="AM159">
        <v>23.1</v>
      </c>
      <c r="AN159">
        <v>29.6</v>
      </c>
      <c r="AO159">
        <v>43.05</v>
      </c>
      <c r="AP159">
        <v>47</v>
      </c>
      <c r="AQ159">
        <v>44</v>
      </c>
      <c r="AR159">
        <v>165</v>
      </c>
      <c r="AS159" t="s">
        <v>46</v>
      </c>
      <c r="AT159" t="s">
        <v>330</v>
      </c>
      <c r="AU159" t="s">
        <v>316</v>
      </c>
      <c r="AV159" t="s">
        <v>52</v>
      </c>
      <c r="AW159" t="s">
        <v>317</v>
      </c>
      <c r="AX159" t="s">
        <v>323</v>
      </c>
      <c r="AY159">
        <v>8.0000000000000002E-3</v>
      </c>
      <c r="AZ159">
        <v>10.050000000000001</v>
      </c>
      <c r="BA159">
        <v>0.49110999999999999</v>
      </c>
      <c r="BB159">
        <v>0.94628999999999996</v>
      </c>
      <c r="BC159">
        <v>0.48</v>
      </c>
      <c r="BD159">
        <v>0.99237879033565701</v>
      </c>
      <c r="BE159" t="s">
        <v>319</v>
      </c>
      <c r="BF159" t="s">
        <v>320</v>
      </c>
    </row>
    <row r="160" spans="1:58" customFormat="1" x14ac:dyDescent="0.35">
      <c r="A160">
        <v>10</v>
      </c>
      <c r="B160">
        <v>10</v>
      </c>
      <c r="C160">
        <v>10</v>
      </c>
      <c r="D160">
        <v>10</v>
      </c>
      <c r="E160">
        <v>13</v>
      </c>
      <c r="F160">
        <v>13</v>
      </c>
      <c r="G160">
        <v>13</v>
      </c>
      <c r="H160">
        <v>10</v>
      </c>
      <c r="I160">
        <v>10</v>
      </c>
      <c r="J160">
        <v>10</v>
      </c>
      <c r="K160">
        <v>10</v>
      </c>
      <c r="L160">
        <v>10</v>
      </c>
      <c r="M160">
        <v>10</v>
      </c>
      <c r="N160">
        <v>10</v>
      </c>
      <c r="O160">
        <v>10</v>
      </c>
      <c r="P160">
        <v>10</v>
      </c>
      <c r="Q160">
        <v>10</v>
      </c>
      <c r="R160">
        <v>10</v>
      </c>
      <c r="S160">
        <v>10</v>
      </c>
      <c r="T160">
        <v>10</v>
      </c>
      <c r="U160">
        <v>10</v>
      </c>
      <c r="V160">
        <f>MAX(A160:U160)</f>
        <v>13</v>
      </c>
      <c r="W160" s="4" t="s">
        <v>240</v>
      </c>
      <c r="X160">
        <v>0.1612587580587018</v>
      </c>
      <c r="Y160">
        <v>1.1000000000000001</v>
      </c>
      <c r="Z160">
        <v>32</v>
      </c>
      <c r="AA160">
        <v>50.4</v>
      </c>
      <c r="AB160">
        <v>45</v>
      </c>
      <c r="AC160">
        <v>27.7</v>
      </c>
      <c r="AD160">
        <v>4</v>
      </c>
      <c r="AE160">
        <v>1129</v>
      </c>
      <c r="AF160">
        <v>25.8</v>
      </c>
      <c r="AG160">
        <v>29.6</v>
      </c>
      <c r="AH160">
        <v>20.5</v>
      </c>
      <c r="AI160">
        <v>38.700000000000003</v>
      </c>
      <c r="AJ160">
        <v>23.8</v>
      </c>
      <c r="AK160">
        <v>38.200000000000003</v>
      </c>
      <c r="AL160">
        <v>19.8</v>
      </c>
      <c r="AM160">
        <v>32.799999999999997</v>
      </c>
      <c r="AN160">
        <v>21.5</v>
      </c>
      <c r="AO160">
        <v>35.75</v>
      </c>
      <c r="AP160">
        <v>44.1</v>
      </c>
      <c r="AQ160">
        <v>42.25</v>
      </c>
      <c r="AR160">
        <v>153</v>
      </c>
      <c r="AS160" t="s">
        <v>49</v>
      </c>
      <c r="AT160" t="s">
        <v>315</v>
      </c>
      <c r="AU160" t="s">
        <v>321</v>
      </c>
      <c r="AV160" t="s">
        <v>47</v>
      </c>
      <c r="AW160" t="s">
        <v>317</v>
      </c>
      <c r="AX160" t="s">
        <v>323</v>
      </c>
      <c r="AY160">
        <v>-3.0000000000000001E-3</v>
      </c>
      <c r="AZ160">
        <v>10.989000000000001</v>
      </c>
      <c r="BA160">
        <v>0.10020999999999999</v>
      </c>
      <c r="BB160">
        <v>0.99578999999999995</v>
      </c>
      <c r="BC160">
        <v>-0.18</v>
      </c>
      <c r="BD160">
        <v>0</v>
      </c>
      <c r="BE160" t="s">
        <v>329</v>
      </c>
      <c r="BF160" t="s">
        <v>320</v>
      </c>
    </row>
    <row r="161" spans="1:58" customFormat="1" x14ac:dyDescent="0.35">
      <c r="A161">
        <v>10</v>
      </c>
      <c r="B161">
        <v>10</v>
      </c>
      <c r="C161">
        <v>10</v>
      </c>
      <c r="D161">
        <v>10</v>
      </c>
      <c r="E161">
        <v>10</v>
      </c>
      <c r="F161">
        <v>14</v>
      </c>
      <c r="G161">
        <v>12</v>
      </c>
      <c r="H161">
        <v>10</v>
      </c>
      <c r="I161">
        <v>10</v>
      </c>
      <c r="J161">
        <v>10</v>
      </c>
      <c r="K161">
        <v>12</v>
      </c>
      <c r="L161">
        <v>12</v>
      </c>
      <c r="M161">
        <v>12</v>
      </c>
      <c r="N161">
        <v>14</v>
      </c>
      <c r="O161">
        <v>10</v>
      </c>
      <c r="P161">
        <v>12</v>
      </c>
      <c r="Q161">
        <v>14</v>
      </c>
      <c r="R161">
        <v>14</v>
      </c>
      <c r="S161">
        <v>14</v>
      </c>
      <c r="T161">
        <v>14</v>
      </c>
      <c r="U161">
        <v>14</v>
      </c>
      <c r="V161">
        <f>MAX(A161:U161)</f>
        <v>14</v>
      </c>
      <c r="W161" s="4" t="s">
        <v>241</v>
      </c>
      <c r="X161">
        <v>1.809535630040477E-2</v>
      </c>
      <c r="Y161">
        <v>3.01</v>
      </c>
      <c r="Z161">
        <v>26</v>
      </c>
      <c r="AA161">
        <v>81.8</v>
      </c>
      <c r="AB161">
        <v>52</v>
      </c>
      <c r="AC161">
        <v>24.9</v>
      </c>
      <c r="AD161">
        <v>13.5</v>
      </c>
      <c r="AE161">
        <v>1784</v>
      </c>
      <c r="AF161">
        <v>31.4</v>
      </c>
      <c r="AG161">
        <v>35.799999999999997</v>
      </c>
      <c r="AH161">
        <v>24.2</v>
      </c>
      <c r="AI161">
        <v>48.7</v>
      </c>
      <c r="AJ161">
        <v>17.600000000000001</v>
      </c>
      <c r="AK161">
        <v>21.7</v>
      </c>
      <c r="AL161">
        <v>16</v>
      </c>
      <c r="AM161">
        <v>21.9</v>
      </c>
      <c r="AN161">
        <v>26.7</v>
      </c>
      <c r="AO161">
        <v>39.9</v>
      </c>
      <c r="AP161">
        <v>45.15</v>
      </c>
      <c r="AQ161">
        <v>46.65</v>
      </c>
      <c r="AR161">
        <v>175</v>
      </c>
      <c r="AS161" t="s">
        <v>46</v>
      </c>
      <c r="AT161" t="s">
        <v>315</v>
      </c>
      <c r="AU161" t="s">
        <v>321</v>
      </c>
      <c r="AV161" t="s">
        <v>52</v>
      </c>
      <c r="AW161" t="s">
        <v>317</v>
      </c>
      <c r="AX161" t="s">
        <v>318</v>
      </c>
      <c r="AY161">
        <v>1.2E-2</v>
      </c>
      <c r="AZ161">
        <v>9.64</v>
      </c>
      <c r="BA161">
        <v>0.54903999999999997</v>
      </c>
      <c r="BB161">
        <v>1.16533</v>
      </c>
      <c r="BC161">
        <v>0.72</v>
      </c>
      <c r="BD161">
        <v>1.11302091778822</v>
      </c>
      <c r="BE161" t="s">
        <v>319</v>
      </c>
      <c r="BF161" t="s">
        <v>320</v>
      </c>
    </row>
    <row r="162" spans="1:58" customFormat="1" x14ac:dyDescent="0.35">
      <c r="A162">
        <v>10</v>
      </c>
      <c r="B162">
        <v>10</v>
      </c>
      <c r="C162">
        <v>10</v>
      </c>
      <c r="D162">
        <v>13</v>
      </c>
      <c r="E162">
        <v>13</v>
      </c>
      <c r="F162">
        <v>13</v>
      </c>
      <c r="G162">
        <v>13</v>
      </c>
      <c r="H162">
        <v>13</v>
      </c>
      <c r="I162">
        <v>13</v>
      </c>
      <c r="J162">
        <v>13</v>
      </c>
      <c r="K162">
        <v>13</v>
      </c>
      <c r="L162">
        <v>14</v>
      </c>
      <c r="M162">
        <v>14</v>
      </c>
      <c r="N162">
        <v>15</v>
      </c>
      <c r="O162">
        <v>15</v>
      </c>
      <c r="P162">
        <v>15</v>
      </c>
      <c r="Q162">
        <v>16</v>
      </c>
      <c r="R162">
        <v>16</v>
      </c>
      <c r="S162">
        <v>16</v>
      </c>
      <c r="T162">
        <v>16</v>
      </c>
      <c r="U162">
        <v>16</v>
      </c>
      <c r="V162">
        <f>MAX(A162:U162)</f>
        <v>16</v>
      </c>
      <c r="W162" s="4" t="s">
        <v>242</v>
      </c>
      <c r="X162">
        <v>2.5924944168854531E-5</v>
      </c>
      <c r="Y162">
        <v>3.65</v>
      </c>
      <c r="Z162">
        <v>25</v>
      </c>
      <c r="AA162">
        <v>67.8</v>
      </c>
      <c r="AB162">
        <v>42</v>
      </c>
      <c r="AC162">
        <v>25.9</v>
      </c>
      <c r="AD162">
        <v>10</v>
      </c>
      <c r="AE162">
        <v>1548</v>
      </c>
      <c r="AF162">
        <v>30.1</v>
      </c>
      <c r="AG162">
        <v>36.700000000000003</v>
      </c>
      <c r="AH162">
        <v>22.9</v>
      </c>
      <c r="AI162">
        <v>47.5</v>
      </c>
      <c r="AJ162">
        <v>17.8</v>
      </c>
      <c r="AK162">
        <v>24.8</v>
      </c>
      <c r="AL162">
        <v>15.9</v>
      </c>
      <c r="AM162">
        <v>24.8</v>
      </c>
      <c r="AN162">
        <v>24.3</v>
      </c>
      <c r="AO162">
        <v>34.549999999999997</v>
      </c>
      <c r="AP162">
        <v>42.4</v>
      </c>
      <c r="AQ162">
        <v>46.75</v>
      </c>
      <c r="AR162">
        <v>167</v>
      </c>
      <c r="AS162" t="s">
        <v>46</v>
      </c>
      <c r="AT162">
        <v>0</v>
      </c>
      <c r="AU162" t="s">
        <v>321</v>
      </c>
      <c r="AV162" t="s">
        <v>47</v>
      </c>
      <c r="AW162" t="s">
        <v>317</v>
      </c>
      <c r="AX162" t="s">
        <v>318</v>
      </c>
      <c r="AY162">
        <v>1.6E-2</v>
      </c>
      <c r="AZ162">
        <v>10.632</v>
      </c>
      <c r="BA162">
        <v>0.88590999999999998</v>
      </c>
      <c r="BB162">
        <v>0.64537999999999995</v>
      </c>
      <c r="BC162">
        <v>0.96</v>
      </c>
      <c r="BD162">
        <v>0.94762445273228402</v>
      </c>
      <c r="BE162" t="s">
        <v>319</v>
      </c>
      <c r="BF162" t="s">
        <v>320</v>
      </c>
    </row>
    <row r="163" spans="1:58" customFormat="1" x14ac:dyDescent="0.35">
      <c r="A163">
        <v>10</v>
      </c>
      <c r="B163">
        <v>10</v>
      </c>
      <c r="C163">
        <v>12</v>
      </c>
      <c r="D163">
        <v>11</v>
      </c>
      <c r="E163">
        <v>10</v>
      </c>
      <c r="F163">
        <v>10</v>
      </c>
      <c r="G163">
        <v>10</v>
      </c>
      <c r="H163">
        <v>10</v>
      </c>
      <c r="I163">
        <v>10</v>
      </c>
      <c r="J163">
        <v>10</v>
      </c>
      <c r="K163">
        <v>12</v>
      </c>
      <c r="L163">
        <v>10</v>
      </c>
      <c r="M163">
        <v>10</v>
      </c>
      <c r="N163">
        <v>10</v>
      </c>
      <c r="O163">
        <v>10</v>
      </c>
      <c r="P163">
        <v>10</v>
      </c>
      <c r="Q163">
        <v>10</v>
      </c>
      <c r="R163">
        <v>10</v>
      </c>
      <c r="S163">
        <v>10</v>
      </c>
      <c r="T163">
        <v>10</v>
      </c>
      <c r="U163">
        <v>10</v>
      </c>
      <c r="V163">
        <f>MAX(A163:U163)</f>
        <v>12</v>
      </c>
      <c r="W163" s="4" t="s">
        <v>243</v>
      </c>
      <c r="X163">
        <v>0.2777839789550498</v>
      </c>
      <c r="Y163">
        <v>0.37</v>
      </c>
      <c r="Z163">
        <v>28</v>
      </c>
      <c r="AA163">
        <v>67.400000000000006</v>
      </c>
      <c r="AB163">
        <v>47</v>
      </c>
      <c r="AC163">
        <v>34.4</v>
      </c>
      <c r="AD163">
        <v>8</v>
      </c>
      <c r="AE163">
        <v>1367</v>
      </c>
      <c r="AF163">
        <v>24.3</v>
      </c>
      <c r="AG163">
        <v>24.2</v>
      </c>
      <c r="AH163">
        <v>17.899999999999999</v>
      </c>
      <c r="AI163">
        <v>37.6</v>
      </c>
      <c r="AJ163">
        <v>30.4</v>
      </c>
      <c r="AK163">
        <v>45.8</v>
      </c>
      <c r="AL163">
        <v>26.5</v>
      </c>
      <c r="AM163">
        <v>40.700000000000003</v>
      </c>
      <c r="AN163">
        <v>26</v>
      </c>
      <c r="AO163">
        <v>41.45</v>
      </c>
      <c r="AP163">
        <v>47.6</v>
      </c>
      <c r="AQ163">
        <v>43.9</v>
      </c>
      <c r="AR163">
        <v>161</v>
      </c>
      <c r="AS163" t="s">
        <v>49</v>
      </c>
      <c r="AT163" t="s">
        <v>315</v>
      </c>
      <c r="AU163" t="s">
        <v>322</v>
      </c>
      <c r="AV163" t="s">
        <v>52</v>
      </c>
      <c r="AW163" t="s">
        <v>317</v>
      </c>
      <c r="AX163" t="s">
        <v>323</v>
      </c>
      <c r="AY163">
        <v>-2E-3</v>
      </c>
      <c r="AZ163">
        <v>10.542</v>
      </c>
      <c r="BA163">
        <v>8.7389999999999995E-2</v>
      </c>
      <c r="BB163">
        <v>0.58257000000000003</v>
      </c>
      <c r="BC163">
        <v>-0.12</v>
      </c>
      <c r="BD163">
        <v>-9.7292038268201694E-2</v>
      </c>
      <c r="BE163" t="s">
        <v>329</v>
      </c>
      <c r="BF163" t="s">
        <v>320</v>
      </c>
    </row>
    <row r="164" spans="1:58" customFormat="1" x14ac:dyDescent="0.35">
      <c r="A164">
        <v>10</v>
      </c>
      <c r="B164">
        <v>10</v>
      </c>
      <c r="C164">
        <v>10</v>
      </c>
      <c r="D164">
        <v>10</v>
      </c>
      <c r="E164">
        <v>10</v>
      </c>
      <c r="F164">
        <v>10</v>
      </c>
      <c r="G164">
        <v>10</v>
      </c>
      <c r="H164">
        <v>10</v>
      </c>
      <c r="I164">
        <v>11</v>
      </c>
      <c r="J164">
        <v>11</v>
      </c>
      <c r="K164">
        <v>11</v>
      </c>
      <c r="L164">
        <v>11</v>
      </c>
      <c r="M164">
        <v>11</v>
      </c>
      <c r="N164">
        <v>11</v>
      </c>
      <c r="O164">
        <v>11</v>
      </c>
      <c r="P164">
        <v>11</v>
      </c>
      <c r="Q164">
        <v>11</v>
      </c>
      <c r="R164">
        <v>12</v>
      </c>
      <c r="S164">
        <v>13</v>
      </c>
      <c r="T164">
        <v>15</v>
      </c>
      <c r="U164">
        <v>15</v>
      </c>
      <c r="V164">
        <f>MAX(A164:U164)</f>
        <v>15</v>
      </c>
      <c r="W164" s="4" t="s">
        <v>244</v>
      </c>
      <c r="X164">
        <v>0.1117608043337717</v>
      </c>
      <c r="Y164">
        <v>2.12</v>
      </c>
      <c r="Z164">
        <v>20</v>
      </c>
      <c r="AA164">
        <v>41.8</v>
      </c>
      <c r="AB164">
        <v>48</v>
      </c>
      <c r="AC164">
        <v>22.5</v>
      </c>
      <c r="AD164">
        <v>1</v>
      </c>
      <c r="AE164">
        <v>1009</v>
      </c>
      <c r="AF164">
        <v>27.3</v>
      </c>
      <c r="AG164">
        <v>33.299999999999997</v>
      </c>
      <c r="AH164">
        <v>22.7</v>
      </c>
      <c r="AI164">
        <v>37.5</v>
      </c>
      <c r="AJ164">
        <v>17.399999999999999</v>
      </c>
      <c r="AK164">
        <v>32.6</v>
      </c>
      <c r="AL164">
        <v>13.8</v>
      </c>
      <c r="AM164">
        <v>26.2</v>
      </c>
      <c r="AN164">
        <v>16.3</v>
      </c>
      <c r="AO164">
        <v>31.05</v>
      </c>
      <c r="AP164">
        <v>45.15</v>
      </c>
      <c r="AQ164">
        <v>45.05</v>
      </c>
      <c r="AR164">
        <v>160</v>
      </c>
      <c r="AS164" t="s">
        <v>49</v>
      </c>
      <c r="AT164">
        <v>0</v>
      </c>
      <c r="AU164" t="s">
        <v>321</v>
      </c>
      <c r="AV164" t="s">
        <v>47</v>
      </c>
      <c r="AW164" t="s">
        <v>317</v>
      </c>
      <c r="AX164" t="s">
        <v>323</v>
      </c>
      <c r="AY164">
        <v>1.0999999999999999E-2</v>
      </c>
      <c r="AZ164">
        <v>9.1270000000000007</v>
      </c>
      <c r="BA164">
        <v>0.67237000000000002</v>
      </c>
      <c r="BB164">
        <v>0.83389999999999997</v>
      </c>
      <c r="BC164">
        <v>0.65999999999999903</v>
      </c>
      <c r="BD164">
        <v>0.97292038268201697</v>
      </c>
      <c r="BE164" t="s">
        <v>319</v>
      </c>
      <c r="BF164" t="s">
        <v>320</v>
      </c>
    </row>
    <row r="165" spans="1:58" customFormat="1" x14ac:dyDescent="0.35">
      <c r="A165">
        <v>11</v>
      </c>
      <c r="B165">
        <v>11</v>
      </c>
      <c r="C165">
        <v>11</v>
      </c>
      <c r="D165">
        <v>12</v>
      </c>
      <c r="E165">
        <v>12</v>
      </c>
      <c r="F165">
        <v>13</v>
      </c>
      <c r="G165">
        <v>13</v>
      </c>
      <c r="H165">
        <v>11</v>
      </c>
      <c r="I165">
        <v>12</v>
      </c>
      <c r="J165">
        <v>12</v>
      </c>
      <c r="K165">
        <v>13</v>
      </c>
      <c r="L165">
        <v>14</v>
      </c>
      <c r="M165">
        <v>15</v>
      </c>
      <c r="N165">
        <v>15</v>
      </c>
      <c r="O165">
        <v>11</v>
      </c>
      <c r="P165">
        <v>12</v>
      </c>
      <c r="Q165">
        <v>14</v>
      </c>
      <c r="R165">
        <v>14</v>
      </c>
      <c r="S165">
        <v>16</v>
      </c>
      <c r="T165">
        <v>16</v>
      </c>
      <c r="U165">
        <v>17</v>
      </c>
      <c r="V165">
        <f>MAX(A165:U165)</f>
        <v>17</v>
      </c>
      <c r="W165" s="4" t="s">
        <v>245</v>
      </c>
      <c r="X165">
        <v>1.71002751804743E-6</v>
      </c>
      <c r="Y165">
        <v>3.32</v>
      </c>
      <c r="Z165">
        <v>22</v>
      </c>
      <c r="AA165">
        <v>66.8</v>
      </c>
      <c r="AB165">
        <v>62</v>
      </c>
      <c r="AC165">
        <v>21.4</v>
      </c>
      <c r="AD165">
        <v>10</v>
      </c>
      <c r="AE165">
        <v>1549</v>
      </c>
      <c r="AF165">
        <v>31</v>
      </c>
      <c r="AG165">
        <v>36.299999999999997</v>
      </c>
      <c r="AH165">
        <v>24.9</v>
      </c>
      <c r="AI165">
        <v>48.3</v>
      </c>
      <c r="AJ165">
        <v>14.8</v>
      </c>
      <c r="AK165">
        <v>18.399999999999999</v>
      </c>
      <c r="AL165">
        <v>13.2</v>
      </c>
      <c r="AM165">
        <v>18.3</v>
      </c>
      <c r="AN165">
        <v>23.4</v>
      </c>
      <c r="AO165">
        <v>35.65</v>
      </c>
      <c r="AP165">
        <v>43.1</v>
      </c>
      <c r="AQ165">
        <v>47.6</v>
      </c>
      <c r="AR165">
        <v>169</v>
      </c>
      <c r="AS165" t="s">
        <v>46</v>
      </c>
      <c r="AT165" t="s">
        <v>315</v>
      </c>
      <c r="AU165" t="s">
        <v>316</v>
      </c>
      <c r="AV165" t="s">
        <v>47</v>
      </c>
      <c r="AW165" t="s">
        <v>326</v>
      </c>
      <c r="AX165" t="s">
        <v>318</v>
      </c>
      <c r="AY165">
        <v>1.2999999999999999E-2</v>
      </c>
      <c r="AZ165">
        <v>10.672000000000001</v>
      </c>
      <c r="BA165">
        <v>0.62004999999999999</v>
      </c>
      <c r="BB165">
        <v>1.1238600000000001</v>
      </c>
      <c r="BC165">
        <v>0.77999999999999903</v>
      </c>
      <c r="BD165">
        <v>1.1363710069725901</v>
      </c>
      <c r="BE165" t="s">
        <v>319</v>
      </c>
      <c r="BF165" t="s">
        <v>320</v>
      </c>
    </row>
    <row r="166" spans="1:58" customFormat="1" x14ac:dyDescent="0.35">
      <c r="A166">
        <v>10</v>
      </c>
      <c r="B166">
        <v>10</v>
      </c>
      <c r="C166">
        <v>11</v>
      </c>
      <c r="D166">
        <v>13</v>
      </c>
      <c r="E166">
        <v>16</v>
      </c>
      <c r="F166">
        <v>16</v>
      </c>
      <c r="G166">
        <v>16</v>
      </c>
      <c r="H166">
        <v>10</v>
      </c>
      <c r="I166">
        <v>14</v>
      </c>
      <c r="J166">
        <v>16</v>
      </c>
      <c r="K166">
        <v>16</v>
      </c>
      <c r="L166">
        <v>16</v>
      </c>
      <c r="M166">
        <v>16</v>
      </c>
      <c r="N166">
        <v>18</v>
      </c>
      <c r="O166">
        <v>10</v>
      </c>
      <c r="P166">
        <v>10</v>
      </c>
      <c r="Q166">
        <v>10</v>
      </c>
      <c r="R166">
        <v>14</v>
      </c>
      <c r="S166">
        <v>16</v>
      </c>
      <c r="T166">
        <v>18</v>
      </c>
      <c r="U166">
        <v>18</v>
      </c>
      <c r="V166">
        <f>MAX(A166:U166)</f>
        <v>18</v>
      </c>
      <c r="W166" s="4" t="s">
        <v>246</v>
      </c>
      <c r="X166">
        <v>5.4246399241950141E-2</v>
      </c>
      <c r="Y166">
        <v>8.86</v>
      </c>
      <c r="Z166">
        <v>22</v>
      </c>
      <c r="AA166">
        <v>66.8</v>
      </c>
      <c r="AB166">
        <v>41</v>
      </c>
      <c r="AC166">
        <v>31.7</v>
      </c>
      <c r="AD166">
        <v>5.5</v>
      </c>
      <c r="AE166">
        <v>1373</v>
      </c>
      <c r="AF166">
        <v>25.8</v>
      </c>
      <c r="AG166">
        <v>26.1</v>
      </c>
      <c r="AH166">
        <v>19.600000000000001</v>
      </c>
      <c r="AI166">
        <v>38.9</v>
      </c>
      <c r="AJ166">
        <v>27.5</v>
      </c>
      <c r="AK166">
        <v>43.1</v>
      </c>
      <c r="AL166">
        <v>23.7</v>
      </c>
      <c r="AM166">
        <v>37.9</v>
      </c>
      <c r="AN166">
        <v>24</v>
      </c>
      <c r="AO166">
        <v>41.6</v>
      </c>
      <c r="AP166">
        <v>47.4</v>
      </c>
      <c r="AQ166">
        <v>43.7</v>
      </c>
      <c r="AR166">
        <v>167</v>
      </c>
      <c r="AS166" t="s">
        <v>49</v>
      </c>
      <c r="AT166" t="s">
        <v>315</v>
      </c>
      <c r="AU166" t="s">
        <v>316</v>
      </c>
      <c r="AV166" t="s">
        <v>47</v>
      </c>
      <c r="AW166" t="s">
        <v>317</v>
      </c>
      <c r="AX166" t="s">
        <v>318</v>
      </c>
      <c r="AY166">
        <v>1.0999999999999999E-2</v>
      </c>
      <c r="AZ166">
        <v>12.035</v>
      </c>
      <c r="BA166">
        <v>0.15301999999999999</v>
      </c>
      <c r="BB166">
        <v>2.7389399999999999</v>
      </c>
      <c r="BC166">
        <v>0.65999999999999903</v>
      </c>
      <c r="BD166">
        <v>0.66547754175449902</v>
      </c>
      <c r="BE166" t="s">
        <v>319</v>
      </c>
      <c r="BF166" t="s">
        <v>320</v>
      </c>
    </row>
    <row r="167" spans="1:58" customFormat="1" x14ac:dyDescent="0.35">
      <c r="A167">
        <v>10</v>
      </c>
      <c r="B167">
        <v>10</v>
      </c>
      <c r="C167">
        <v>12</v>
      </c>
      <c r="D167">
        <v>12</v>
      </c>
      <c r="E167">
        <v>12</v>
      </c>
      <c r="F167">
        <v>13</v>
      </c>
      <c r="G167">
        <v>14</v>
      </c>
      <c r="H167">
        <v>10</v>
      </c>
      <c r="I167">
        <v>12</v>
      </c>
      <c r="J167">
        <v>14</v>
      </c>
      <c r="K167">
        <v>18</v>
      </c>
      <c r="L167">
        <v>18</v>
      </c>
      <c r="M167">
        <v>18</v>
      </c>
      <c r="N167">
        <v>14</v>
      </c>
      <c r="O167">
        <v>10</v>
      </c>
      <c r="P167">
        <v>14</v>
      </c>
      <c r="Q167">
        <v>14</v>
      </c>
      <c r="R167">
        <v>14</v>
      </c>
      <c r="S167">
        <v>17</v>
      </c>
      <c r="T167">
        <v>20</v>
      </c>
      <c r="U167">
        <v>21</v>
      </c>
      <c r="V167">
        <f>MAX(A167:U167)</f>
        <v>21</v>
      </c>
      <c r="W167" s="4" t="s">
        <v>247</v>
      </c>
      <c r="X167">
        <v>2.412741405754103E-3</v>
      </c>
      <c r="Y167">
        <v>10.6</v>
      </c>
      <c r="Z167">
        <v>17</v>
      </c>
      <c r="AA167">
        <v>69</v>
      </c>
      <c r="AB167">
        <v>53</v>
      </c>
      <c r="AC167">
        <v>29.3</v>
      </c>
      <c r="AD167">
        <v>13.5</v>
      </c>
      <c r="AE167">
        <v>1543</v>
      </c>
      <c r="AF167">
        <v>27.7</v>
      </c>
      <c r="AG167">
        <v>34.700000000000003</v>
      </c>
      <c r="AH167">
        <v>20.2</v>
      </c>
      <c r="AI167">
        <v>45.2</v>
      </c>
      <c r="AJ167">
        <v>20.2</v>
      </c>
      <c r="AK167">
        <v>27.2</v>
      </c>
      <c r="AL167">
        <v>18.2</v>
      </c>
      <c r="AM167">
        <v>27.6</v>
      </c>
      <c r="AN167">
        <v>26</v>
      </c>
      <c r="AO167">
        <v>42.55</v>
      </c>
      <c r="AP167">
        <v>46.35</v>
      </c>
      <c r="AQ167">
        <v>45.95</v>
      </c>
      <c r="AR167">
        <v>163</v>
      </c>
      <c r="AS167" t="s">
        <v>46</v>
      </c>
      <c r="AT167" t="s">
        <v>315</v>
      </c>
      <c r="AU167" t="s">
        <v>321</v>
      </c>
      <c r="AV167" t="s">
        <v>52</v>
      </c>
      <c r="AW167" t="s">
        <v>326</v>
      </c>
      <c r="AX167" t="s">
        <v>323</v>
      </c>
      <c r="AY167">
        <v>2.1000000000000001E-2</v>
      </c>
      <c r="AZ167">
        <v>10.29</v>
      </c>
      <c r="BA167">
        <v>0.49167</v>
      </c>
      <c r="BB167">
        <v>2.3211200000000001</v>
      </c>
      <c r="BC167">
        <v>1.26</v>
      </c>
      <c r="BD167">
        <v>1.4749473001459299</v>
      </c>
      <c r="BE167" t="s">
        <v>319</v>
      </c>
      <c r="BF167" t="s">
        <v>320</v>
      </c>
    </row>
    <row r="168" spans="1:58" customFormat="1" x14ac:dyDescent="0.35">
      <c r="A168">
        <v>10</v>
      </c>
      <c r="B168">
        <v>10</v>
      </c>
      <c r="C168">
        <v>10</v>
      </c>
      <c r="D168">
        <v>10</v>
      </c>
      <c r="E168">
        <v>13</v>
      </c>
      <c r="F168">
        <v>13</v>
      </c>
      <c r="G168">
        <v>13</v>
      </c>
      <c r="H168">
        <v>13</v>
      </c>
      <c r="I168">
        <v>13</v>
      </c>
      <c r="J168">
        <v>13</v>
      </c>
      <c r="K168">
        <v>15</v>
      </c>
      <c r="L168">
        <v>17</v>
      </c>
      <c r="M168">
        <v>15</v>
      </c>
      <c r="N168">
        <v>15</v>
      </c>
      <c r="O168">
        <v>15</v>
      </c>
      <c r="P168">
        <v>15</v>
      </c>
      <c r="Q168">
        <v>15</v>
      </c>
      <c r="R168">
        <v>15</v>
      </c>
      <c r="S168">
        <v>17</v>
      </c>
      <c r="T168">
        <v>17</v>
      </c>
      <c r="U168">
        <v>19</v>
      </c>
      <c r="V168">
        <f>MAX(A168:U168)</f>
        <v>19</v>
      </c>
      <c r="W168" s="4" t="s">
        <v>248</v>
      </c>
      <c r="X168">
        <v>1.3729723405793369E-6</v>
      </c>
      <c r="Y168">
        <v>6.14</v>
      </c>
      <c r="Z168">
        <v>19</v>
      </c>
      <c r="AA168">
        <v>48.8</v>
      </c>
      <c r="AB168">
        <v>61</v>
      </c>
      <c r="AC168">
        <v>32.1</v>
      </c>
      <c r="AD168">
        <v>2.5</v>
      </c>
      <c r="AE168">
        <v>1087</v>
      </c>
      <c r="AF168">
        <v>23.8</v>
      </c>
      <c r="AG168">
        <v>27.6</v>
      </c>
      <c r="AH168">
        <v>18.7</v>
      </c>
      <c r="AI168">
        <v>34.799999999999997</v>
      </c>
      <c r="AJ168">
        <v>23.9</v>
      </c>
      <c r="AK168">
        <v>42.8</v>
      </c>
      <c r="AL168">
        <v>21.4</v>
      </c>
      <c r="AM168">
        <v>33.4</v>
      </c>
      <c r="AN168">
        <v>18.600000000000001</v>
      </c>
      <c r="AO168">
        <v>36</v>
      </c>
      <c r="AP168">
        <v>43.3</v>
      </c>
      <c r="AQ168">
        <v>42.9</v>
      </c>
      <c r="AR168">
        <v>162</v>
      </c>
      <c r="AS168" t="s">
        <v>49</v>
      </c>
      <c r="AT168" t="s">
        <v>327</v>
      </c>
      <c r="AU168" t="s">
        <v>322</v>
      </c>
      <c r="AV168" t="s">
        <v>47</v>
      </c>
      <c r="AW168" t="s">
        <v>326</v>
      </c>
      <c r="AX168" t="s">
        <v>323</v>
      </c>
      <c r="AY168">
        <v>2.1000000000000001E-2</v>
      </c>
      <c r="AZ168">
        <v>10.103999999999999</v>
      </c>
      <c r="BA168">
        <v>0.84699999999999998</v>
      </c>
      <c r="BB168">
        <v>0.96926999999999996</v>
      </c>
      <c r="BC168">
        <v>1.26</v>
      </c>
      <c r="BD168">
        <v>1.0818874655424</v>
      </c>
      <c r="BE168" t="s">
        <v>319</v>
      </c>
      <c r="BF168" t="s">
        <v>320</v>
      </c>
    </row>
    <row r="169" spans="1:58" customFormat="1" x14ac:dyDescent="0.35">
      <c r="A169">
        <v>10</v>
      </c>
      <c r="B169">
        <v>10</v>
      </c>
      <c r="C169">
        <v>11</v>
      </c>
      <c r="D169">
        <v>12</v>
      </c>
      <c r="E169">
        <v>12</v>
      </c>
      <c r="F169">
        <v>12</v>
      </c>
      <c r="G169">
        <v>12</v>
      </c>
      <c r="H169">
        <v>10</v>
      </c>
      <c r="I169">
        <v>10</v>
      </c>
      <c r="J169">
        <v>10</v>
      </c>
      <c r="K169">
        <v>10</v>
      </c>
      <c r="L169">
        <v>10</v>
      </c>
      <c r="M169">
        <v>10</v>
      </c>
      <c r="N169">
        <v>10</v>
      </c>
      <c r="O169">
        <v>10</v>
      </c>
      <c r="P169">
        <v>11</v>
      </c>
      <c r="Q169">
        <v>12</v>
      </c>
      <c r="R169">
        <v>12</v>
      </c>
      <c r="S169">
        <v>12</v>
      </c>
      <c r="T169">
        <v>12</v>
      </c>
      <c r="U169">
        <v>12</v>
      </c>
      <c r="V169">
        <f>MAX(A169:U169)</f>
        <v>12</v>
      </c>
      <c r="W169" s="4" t="s">
        <v>249</v>
      </c>
      <c r="X169">
        <v>0.85001203269403591</v>
      </c>
      <c r="Y169">
        <v>0.9</v>
      </c>
      <c r="Z169">
        <v>23</v>
      </c>
      <c r="AA169">
        <v>77.599999999999994</v>
      </c>
      <c r="AB169">
        <v>52</v>
      </c>
      <c r="AC169">
        <v>28.4</v>
      </c>
      <c r="AD169">
        <v>14</v>
      </c>
      <c r="AE169">
        <v>1689</v>
      </c>
      <c r="AF169">
        <v>29</v>
      </c>
      <c r="AG169">
        <v>35.1</v>
      </c>
      <c r="AH169">
        <v>21.4</v>
      </c>
      <c r="AI169">
        <v>46.4</v>
      </c>
      <c r="AJ169">
        <v>19.8</v>
      </c>
      <c r="AK169">
        <v>26</v>
      </c>
      <c r="AL169">
        <v>17.899999999999999</v>
      </c>
      <c r="AM169">
        <v>26.4</v>
      </c>
      <c r="AN169">
        <v>26.9</v>
      </c>
      <c r="AO169">
        <v>40</v>
      </c>
      <c r="AP169">
        <v>46.25</v>
      </c>
      <c r="AQ169">
        <v>46.35</v>
      </c>
      <c r="AR169">
        <v>170</v>
      </c>
      <c r="AS169" t="s">
        <v>46</v>
      </c>
      <c r="AT169" t="s">
        <v>330</v>
      </c>
      <c r="AU169" t="s">
        <v>322</v>
      </c>
      <c r="AV169" t="s">
        <v>52</v>
      </c>
      <c r="AW169" t="s">
        <v>317</v>
      </c>
      <c r="AX169" t="s">
        <v>318</v>
      </c>
      <c r="AY169">
        <v>2E-3</v>
      </c>
      <c r="AZ169">
        <v>10.491</v>
      </c>
      <c r="BA169">
        <v>8.2989999999999994E-2</v>
      </c>
      <c r="BB169">
        <v>0.90971999999999997</v>
      </c>
      <c r="BC169">
        <v>0.12</v>
      </c>
      <c r="BD169">
        <v>0.659640019458407</v>
      </c>
      <c r="BE169" t="s">
        <v>319</v>
      </c>
      <c r="BF169" t="s">
        <v>320</v>
      </c>
    </row>
    <row r="170" spans="1:58" customFormat="1" x14ac:dyDescent="0.35">
      <c r="A170">
        <v>24</v>
      </c>
      <c r="B170">
        <v>22</v>
      </c>
      <c r="C170">
        <v>22</v>
      </c>
      <c r="D170">
        <v>22</v>
      </c>
      <c r="E170">
        <v>23</v>
      </c>
      <c r="F170">
        <v>26</v>
      </c>
      <c r="G170">
        <v>25</v>
      </c>
      <c r="H170">
        <v>20</v>
      </c>
      <c r="I170">
        <v>22</v>
      </c>
      <c r="J170">
        <v>25</v>
      </c>
      <c r="K170">
        <v>25</v>
      </c>
      <c r="L170">
        <v>28</v>
      </c>
      <c r="M170">
        <v>28</v>
      </c>
      <c r="N170">
        <v>29</v>
      </c>
      <c r="O170">
        <v>23</v>
      </c>
      <c r="P170">
        <v>24</v>
      </c>
      <c r="Q170">
        <v>31</v>
      </c>
      <c r="R170">
        <v>32</v>
      </c>
      <c r="S170">
        <v>34</v>
      </c>
      <c r="T170">
        <v>33</v>
      </c>
      <c r="U170">
        <v>35</v>
      </c>
      <c r="V170">
        <f>MAX(A170:U170)</f>
        <v>35</v>
      </c>
      <c r="W170" s="4" t="s">
        <v>250</v>
      </c>
      <c r="X170">
        <v>3.7496834079397361E-5</v>
      </c>
      <c r="Y170">
        <v>18.98</v>
      </c>
      <c r="Z170">
        <v>25</v>
      </c>
      <c r="AA170">
        <v>81.5</v>
      </c>
      <c r="AB170">
        <v>53</v>
      </c>
      <c r="AC170">
        <v>27.1</v>
      </c>
      <c r="AD170">
        <v>11.5</v>
      </c>
      <c r="AE170">
        <v>1765</v>
      </c>
      <c r="AF170">
        <v>30.4</v>
      </c>
      <c r="AG170">
        <v>36</v>
      </c>
      <c r="AH170">
        <v>22.8</v>
      </c>
      <c r="AI170">
        <v>47.7</v>
      </c>
      <c r="AJ170">
        <v>18.7</v>
      </c>
      <c r="AK170">
        <v>24.6</v>
      </c>
      <c r="AL170">
        <v>16.8</v>
      </c>
      <c r="AM170">
        <v>24.9</v>
      </c>
      <c r="AN170">
        <v>25.2</v>
      </c>
      <c r="AO170">
        <v>40.25</v>
      </c>
      <c r="AP170">
        <v>48.55</v>
      </c>
      <c r="AQ170">
        <v>49.5</v>
      </c>
      <c r="AR170">
        <v>180</v>
      </c>
      <c r="AS170" t="s">
        <v>46</v>
      </c>
      <c r="AT170" t="s">
        <v>315</v>
      </c>
      <c r="AU170" t="s">
        <v>321</v>
      </c>
      <c r="AV170" t="s">
        <v>52</v>
      </c>
      <c r="AW170" t="s">
        <v>326</v>
      </c>
      <c r="AX170" t="s">
        <v>318</v>
      </c>
      <c r="AY170">
        <v>3.3000000000000002E-2</v>
      </c>
      <c r="AZ170">
        <v>20.306999999999999</v>
      </c>
      <c r="BA170">
        <v>0.67162999999999995</v>
      </c>
      <c r="BB170">
        <v>2.4967600000000001</v>
      </c>
      <c r="BC170">
        <v>1.98</v>
      </c>
      <c r="BD170" s="7">
        <v>3.2437165558618402</v>
      </c>
      <c r="BE170" t="s">
        <v>319</v>
      </c>
      <c r="BF170" t="s">
        <v>320</v>
      </c>
    </row>
    <row r="171" spans="1:58" customFormat="1" x14ac:dyDescent="0.35">
      <c r="A171">
        <v>10</v>
      </c>
      <c r="B171">
        <v>10</v>
      </c>
      <c r="C171">
        <v>10</v>
      </c>
      <c r="D171">
        <v>20</v>
      </c>
      <c r="E171">
        <v>20</v>
      </c>
      <c r="F171">
        <v>20</v>
      </c>
      <c r="G171">
        <v>20</v>
      </c>
      <c r="H171">
        <v>20</v>
      </c>
      <c r="I171">
        <v>30</v>
      </c>
      <c r="J171">
        <v>30</v>
      </c>
      <c r="K171">
        <v>30</v>
      </c>
      <c r="L171">
        <v>32</v>
      </c>
      <c r="M171">
        <v>32</v>
      </c>
      <c r="N171">
        <v>32</v>
      </c>
      <c r="O171">
        <v>34</v>
      </c>
      <c r="P171">
        <v>34</v>
      </c>
      <c r="Q171">
        <v>35</v>
      </c>
      <c r="R171">
        <v>35</v>
      </c>
      <c r="S171">
        <v>35</v>
      </c>
      <c r="T171">
        <v>37</v>
      </c>
      <c r="U171">
        <v>39</v>
      </c>
      <c r="V171">
        <f>MAX(A171:U171)</f>
        <v>39</v>
      </c>
      <c r="W171" s="4" t="s">
        <v>251</v>
      </c>
      <c r="X171">
        <v>2.0246114098565761E-4</v>
      </c>
      <c r="Y171">
        <v>83.23</v>
      </c>
      <c r="Z171">
        <v>15</v>
      </c>
      <c r="AA171">
        <v>69.900000000000006</v>
      </c>
      <c r="AB171">
        <v>65</v>
      </c>
      <c r="AC171">
        <v>27.9</v>
      </c>
      <c r="AD171">
        <v>13.5</v>
      </c>
      <c r="AE171">
        <v>1562</v>
      </c>
      <c r="AF171">
        <v>27.8</v>
      </c>
      <c r="AG171">
        <v>34.5</v>
      </c>
      <c r="AH171">
        <v>20.6</v>
      </c>
      <c r="AI171">
        <v>45.3</v>
      </c>
      <c r="AJ171">
        <v>19.2</v>
      </c>
      <c r="AK171">
        <v>24.5</v>
      </c>
      <c r="AL171">
        <v>17.3</v>
      </c>
      <c r="AM171">
        <v>25</v>
      </c>
      <c r="AN171">
        <v>25.4</v>
      </c>
      <c r="AO171">
        <v>37.700000000000003</v>
      </c>
      <c r="AP171">
        <v>42.4</v>
      </c>
      <c r="AQ171">
        <v>47.8</v>
      </c>
      <c r="AR171">
        <v>166</v>
      </c>
      <c r="AS171" t="s">
        <v>46</v>
      </c>
      <c r="AT171" t="s">
        <v>315</v>
      </c>
      <c r="AU171" t="s">
        <v>322</v>
      </c>
      <c r="AV171" t="s">
        <v>52</v>
      </c>
      <c r="AW171" t="s">
        <v>326</v>
      </c>
      <c r="AX171" t="s">
        <v>323</v>
      </c>
      <c r="AY171">
        <v>7.9000000000000001E-2</v>
      </c>
      <c r="AZ171">
        <v>12.364000000000001</v>
      </c>
      <c r="BA171">
        <v>0.89200000000000002</v>
      </c>
      <c r="BB171">
        <v>2.9980600000000002</v>
      </c>
      <c r="BC171">
        <v>4.74</v>
      </c>
      <c r="BD171">
        <v>3.0724825685098098</v>
      </c>
      <c r="BE171" t="s">
        <v>319</v>
      </c>
      <c r="BF171" t="s">
        <v>324</v>
      </c>
    </row>
    <row r="172" spans="1:58" customFormat="1" x14ac:dyDescent="0.35">
      <c r="A172">
        <v>26</v>
      </c>
      <c r="B172">
        <v>26</v>
      </c>
      <c r="C172">
        <v>26</v>
      </c>
      <c r="D172">
        <v>30</v>
      </c>
      <c r="E172">
        <v>30</v>
      </c>
      <c r="F172">
        <v>30</v>
      </c>
      <c r="G172">
        <v>34</v>
      </c>
      <c r="H172">
        <v>28</v>
      </c>
      <c r="I172">
        <v>30</v>
      </c>
      <c r="J172">
        <v>34</v>
      </c>
      <c r="K172">
        <v>34</v>
      </c>
      <c r="L172">
        <v>34</v>
      </c>
      <c r="M172">
        <v>36</v>
      </c>
      <c r="N172">
        <v>36</v>
      </c>
      <c r="O172">
        <v>37</v>
      </c>
      <c r="P172">
        <v>37</v>
      </c>
      <c r="Q172">
        <v>37</v>
      </c>
      <c r="R172">
        <v>37</v>
      </c>
      <c r="S172">
        <v>39</v>
      </c>
      <c r="T172">
        <v>39</v>
      </c>
      <c r="U172">
        <v>39</v>
      </c>
      <c r="V172">
        <f>MAX(A172:U172)</f>
        <v>39</v>
      </c>
      <c r="W172" s="4" t="s">
        <v>252</v>
      </c>
      <c r="X172">
        <v>1.4206121685891271E-4</v>
      </c>
      <c r="Y172">
        <v>19.059999999999999</v>
      </c>
      <c r="Z172">
        <v>24</v>
      </c>
      <c r="AA172">
        <v>69.599999999999994</v>
      </c>
      <c r="AB172">
        <v>67</v>
      </c>
      <c r="AC172">
        <v>23.6</v>
      </c>
      <c r="AD172">
        <v>9</v>
      </c>
      <c r="AE172">
        <v>1585</v>
      </c>
      <c r="AF172">
        <v>30.4</v>
      </c>
      <c r="AG172">
        <v>36.200000000000003</v>
      </c>
      <c r="AH172">
        <v>23.9</v>
      </c>
      <c r="AI172">
        <v>47.8</v>
      </c>
      <c r="AJ172">
        <v>16.100000000000001</v>
      </c>
      <c r="AK172">
        <v>20.3</v>
      </c>
      <c r="AL172">
        <v>14.1</v>
      </c>
      <c r="AM172">
        <v>20.399999999999999</v>
      </c>
      <c r="AN172">
        <v>22.5</v>
      </c>
      <c r="AO172">
        <v>38.9</v>
      </c>
      <c r="AP172">
        <v>47.5</v>
      </c>
      <c r="AQ172">
        <v>48.8</v>
      </c>
      <c r="AR172">
        <v>176</v>
      </c>
      <c r="AS172" t="s">
        <v>46</v>
      </c>
      <c r="AT172" t="s">
        <v>330</v>
      </c>
      <c r="AU172" t="s">
        <v>322</v>
      </c>
      <c r="AV172" t="s">
        <v>47</v>
      </c>
      <c r="AW172" t="s">
        <v>326</v>
      </c>
      <c r="AX172" t="s">
        <v>318</v>
      </c>
      <c r="AY172">
        <v>3.7999999999999999E-2</v>
      </c>
      <c r="AZ172">
        <v>26.280999999999999</v>
      </c>
      <c r="BA172">
        <v>0.90383000000000002</v>
      </c>
      <c r="BB172">
        <v>1.3539099999999999</v>
      </c>
      <c r="BC172">
        <v>2.2799999999999998</v>
      </c>
      <c r="BD172">
        <v>2.3525214853251102</v>
      </c>
      <c r="BE172" t="s">
        <v>319</v>
      </c>
      <c r="BF172" t="s">
        <v>320</v>
      </c>
    </row>
    <row r="173" spans="1:58" customFormat="1" x14ac:dyDescent="0.35">
      <c r="A173">
        <v>10</v>
      </c>
      <c r="B173">
        <v>10</v>
      </c>
      <c r="C173">
        <v>10</v>
      </c>
      <c r="D173">
        <v>10</v>
      </c>
      <c r="E173">
        <v>10</v>
      </c>
      <c r="F173">
        <v>12</v>
      </c>
      <c r="G173">
        <v>14</v>
      </c>
      <c r="H173">
        <v>14</v>
      </c>
      <c r="I173">
        <v>22</v>
      </c>
      <c r="J173">
        <v>24</v>
      </c>
      <c r="K173">
        <v>29</v>
      </c>
      <c r="L173">
        <v>29</v>
      </c>
      <c r="M173">
        <v>38</v>
      </c>
      <c r="N173">
        <v>40</v>
      </c>
      <c r="O173">
        <v>38</v>
      </c>
      <c r="P173">
        <v>43</v>
      </c>
      <c r="Q173">
        <v>40</v>
      </c>
      <c r="R173">
        <v>41</v>
      </c>
      <c r="S173">
        <v>45</v>
      </c>
      <c r="T173">
        <v>45</v>
      </c>
      <c r="U173">
        <v>41</v>
      </c>
      <c r="V173">
        <f>MAX(A173:U173)</f>
        <v>45</v>
      </c>
      <c r="W173" s="4" t="s">
        <v>253</v>
      </c>
      <c r="X173">
        <v>5.3495535185826918E-5</v>
      </c>
      <c r="Y173">
        <v>186.94</v>
      </c>
      <c r="Z173">
        <v>20</v>
      </c>
      <c r="AA173">
        <v>68.8</v>
      </c>
      <c r="AB173">
        <v>47</v>
      </c>
      <c r="AC173">
        <v>19.7</v>
      </c>
      <c r="AD173">
        <v>8.5</v>
      </c>
      <c r="AE173">
        <v>1597</v>
      </c>
      <c r="AF173">
        <v>32.9</v>
      </c>
      <c r="AG173">
        <v>38</v>
      </c>
      <c r="AH173">
        <v>26.8</v>
      </c>
      <c r="AI173">
        <v>50.2</v>
      </c>
      <c r="AJ173">
        <v>13.9</v>
      </c>
      <c r="AK173">
        <v>18.100000000000001</v>
      </c>
      <c r="AL173">
        <v>12.3</v>
      </c>
      <c r="AM173">
        <v>17.7</v>
      </c>
      <c r="AN173">
        <v>23.5</v>
      </c>
      <c r="AO173">
        <v>37.65</v>
      </c>
      <c r="AP173">
        <v>46.1</v>
      </c>
      <c r="AQ173">
        <v>44.2</v>
      </c>
      <c r="AR173">
        <v>171</v>
      </c>
      <c r="AS173" t="s">
        <v>46</v>
      </c>
      <c r="AT173" t="s">
        <v>315</v>
      </c>
      <c r="AU173" t="s">
        <v>321</v>
      </c>
      <c r="AV173" t="s">
        <v>47</v>
      </c>
      <c r="AW173" t="s">
        <v>317</v>
      </c>
      <c r="AX173" t="s">
        <v>318</v>
      </c>
      <c r="AY173">
        <v>0.11899999999999999</v>
      </c>
      <c r="AZ173">
        <v>4.835</v>
      </c>
      <c r="BA173">
        <v>0.91483999999999999</v>
      </c>
      <c r="BB173">
        <v>3.9900199999999999</v>
      </c>
      <c r="BC173">
        <v>7.14</v>
      </c>
      <c r="BD173">
        <v>6.7890384303551103</v>
      </c>
      <c r="BE173" t="s">
        <v>319</v>
      </c>
      <c r="BF173" t="s">
        <v>324</v>
      </c>
    </row>
    <row r="174" spans="1:58" customFormat="1" x14ac:dyDescent="0.35">
      <c r="A174">
        <v>10</v>
      </c>
      <c r="B174">
        <v>10</v>
      </c>
      <c r="C174">
        <v>10</v>
      </c>
      <c r="D174">
        <v>10</v>
      </c>
      <c r="E174">
        <v>10</v>
      </c>
      <c r="F174">
        <v>10</v>
      </c>
      <c r="G174">
        <v>11</v>
      </c>
      <c r="H174">
        <v>10</v>
      </c>
      <c r="I174">
        <v>10</v>
      </c>
      <c r="J174">
        <v>10</v>
      </c>
      <c r="K174">
        <v>10</v>
      </c>
      <c r="L174">
        <v>10</v>
      </c>
      <c r="M174">
        <v>10</v>
      </c>
      <c r="N174">
        <v>11</v>
      </c>
      <c r="O174">
        <v>10</v>
      </c>
      <c r="P174">
        <v>10</v>
      </c>
      <c r="Q174">
        <v>10</v>
      </c>
      <c r="R174">
        <v>10</v>
      </c>
      <c r="S174">
        <v>10</v>
      </c>
      <c r="T174">
        <v>10</v>
      </c>
      <c r="U174">
        <v>11</v>
      </c>
      <c r="V174">
        <f>MAX(A174:U174)</f>
        <v>11</v>
      </c>
      <c r="W174" s="4" t="s">
        <v>254</v>
      </c>
      <c r="X174">
        <v>0.42168807631502259</v>
      </c>
      <c r="Y174">
        <v>0.12</v>
      </c>
      <c r="Z174">
        <v>32</v>
      </c>
      <c r="AA174">
        <v>69</v>
      </c>
      <c r="AB174">
        <v>50</v>
      </c>
      <c r="AC174">
        <v>22.5</v>
      </c>
      <c r="AD174">
        <v>6</v>
      </c>
      <c r="AE174">
        <v>1589</v>
      </c>
      <c r="AF174">
        <v>32.200000000000003</v>
      </c>
      <c r="AG174">
        <v>38</v>
      </c>
      <c r="AH174">
        <v>25.5</v>
      </c>
      <c r="AI174">
        <v>49.5</v>
      </c>
      <c r="AJ174">
        <v>15.2</v>
      </c>
      <c r="AK174">
        <v>20.9</v>
      </c>
      <c r="AL174">
        <v>13.2</v>
      </c>
      <c r="AM174">
        <v>20.8</v>
      </c>
      <c r="AN174">
        <v>21.3</v>
      </c>
      <c r="AO174">
        <v>39.799999999999997</v>
      </c>
      <c r="AP174">
        <v>48</v>
      </c>
      <c r="AQ174">
        <v>51.3</v>
      </c>
      <c r="AR174">
        <v>180</v>
      </c>
      <c r="AS174" t="s">
        <v>46</v>
      </c>
      <c r="AT174" t="s">
        <v>315</v>
      </c>
      <c r="AU174" t="s">
        <v>316</v>
      </c>
      <c r="AV174" t="s">
        <v>47</v>
      </c>
      <c r="AW174" t="s">
        <v>317</v>
      </c>
      <c r="AX174" t="s">
        <v>318</v>
      </c>
      <c r="AY174">
        <v>1E-3</v>
      </c>
      <c r="AZ174">
        <v>10.010999999999999</v>
      </c>
      <c r="BA174">
        <v>4.9930000000000002E-2</v>
      </c>
      <c r="BB174">
        <v>0.34107999999999999</v>
      </c>
      <c r="BC174">
        <v>0.06</v>
      </c>
      <c r="BD174">
        <v>9.34003567374736E-2</v>
      </c>
      <c r="BE174" t="s">
        <v>319</v>
      </c>
      <c r="BF174" t="s">
        <v>320</v>
      </c>
    </row>
    <row r="175" spans="1:58" customFormat="1" x14ac:dyDescent="0.35">
      <c r="A175">
        <v>20</v>
      </c>
      <c r="B175">
        <v>10</v>
      </c>
      <c r="C175">
        <v>10</v>
      </c>
      <c r="D175">
        <v>10</v>
      </c>
      <c r="E175">
        <v>10</v>
      </c>
      <c r="F175">
        <v>10</v>
      </c>
      <c r="G175">
        <v>10</v>
      </c>
      <c r="H175">
        <v>10</v>
      </c>
      <c r="I175">
        <v>10</v>
      </c>
      <c r="J175">
        <v>10</v>
      </c>
      <c r="K175">
        <v>10</v>
      </c>
      <c r="L175">
        <v>10</v>
      </c>
      <c r="M175">
        <v>10</v>
      </c>
      <c r="N175">
        <v>10</v>
      </c>
      <c r="O175">
        <v>12</v>
      </c>
      <c r="P175">
        <v>16</v>
      </c>
      <c r="Q175">
        <v>10</v>
      </c>
      <c r="R175">
        <v>12</v>
      </c>
      <c r="S175">
        <v>12</v>
      </c>
      <c r="T175">
        <v>14</v>
      </c>
      <c r="U175">
        <v>12</v>
      </c>
      <c r="V175">
        <f>MAX(A175:U175)</f>
        <v>20</v>
      </c>
      <c r="W175" s="4" t="s">
        <v>255</v>
      </c>
      <c r="X175">
        <v>0.93566400209645029</v>
      </c>
      <c r="Y175">
        <v>6.22</v>
      </c>
      <c r="Z175">
        <v>21</v>
      </c>
      <c r="AA175">
        <v>86.4</v>
      </c>
      <c r="AB175">
        <v>43</v>
      </c>
      <c r="AC175">
        <v>39.5</v>
      </c>
      <c r="AD175">
        <v>18</v>
      </c>
      <c r="AE175">
        <v>1629</v>
      </c>
      <c r="AF175">
        <v>23.2</v>
      </c>
      <c r="AG175">
        <v>18.7</v>
      </c>
      <c r="AH175">
        <v>15.4</v>
      </c>
      <c r="AI175">
        <v>37.700000000000003</v>
      </c>
      <c r="AJ175">
        <v>38.5</v>
      </c>
      <c r="AK175">
        <v>51.1</v>
      </c>
      <c r="AL175">
        <v>34.299999999999997</v>
      </c>
      <c r="AM175">
        <v>49.5</v>
      </c>
      <c r="AN175">
        <v>35.1</v>
      </c>
      <c r="AO175">
        <v>46.1</v>
      </c>
      <c r="AP175">
        <v>45</v>
      </c>
      <c r="AQ175">
        <v>42.9</v>
      </c>
      <c r="AR175">
        <v>157</v>
      </c>
      <c r="AS175" t="s">
        <v>49</v>
      </c>
      <c r="AT175" t="s">
        <v>315</v>
      </c>
      <c r="AU175" t="s">
        <v>316</v>
      </c>
      <c r="AV175" t="s">
        <v>52</v>
      </c>
      <c r="AW175" t="s">
        <v>317</v>
      </c>
      <c r="AX175" t="s">
        <v>323</v>
      </c>
      <c r="AY175">
        <v>1E-3</v>
      </c>
      <c r="AZ175">
        <v>11.069000000000001</v>
      </c>
      <c r="BA175">
        <v>3.9300000000000003E-3</v>
      </c>
      <c r="BB175">
        <v>2.4895299999999998</v>
      </c>
      <c r="BC175">
        <v>0.06</v>
      </c>
      <c r="BD175">
        <v>0.84449489216799001</v>
      </c>
      <c r="BE175" t="s">
        <v>319</v>
      </c>
      <c r="BF175" t="s">
        <v>320</v>
      </c>
    </row>
    <row r="176" spans="1:58" customFormat="1" x14ac:dyDescent="0.35">
      <c r="A176">
        <v>10</v>
      </c>
      <c r="B176">
        <v>10</v>
      </c>
      <c r="C176">
        <v>10</v>
      </c>
      <c r="D176">
        <v>10</v>
      </c>
      <c r="E176">
        <v>10</v>
      </c>
      <c r="F176">
        <v>10</v>
      </c>
      <c r="G176">
        <v>12</v>
      </c>
      <c r="H176">
        <v>10</v>
      </c>
      <c r="I176">
        <v>10</v>
      </c>
      <c r="J176">
        <v>11</v>
      </c>
      <c r="K176">
        <v>12</v>
      </c>
      <c r="L176">
        <v>12</v>
      </c>
      <c r="M176">
        <v>10</v>
      </c>
      <c r="N176">
        <v>10</v>
      </c>
      <c r="O176">
        <v>10</v>
      </c>
      <c r="P176">
        <v>11</v>
      </c>
      <c r="Q176">
        <v>11</v>
      </c>
      <c r="R176">
        <v>12</v>
      </c>
      <c r="S176">
        <v>12</v>
      </c>
      <c r="T176">
        <v>13</v>
      </c>
      <c r="U176">
        <v>16</v>
      </c>
      <c r="V176">
        <f>MAX(A176:U176)</f>
        <v>16</v>
      </c>
      <c r="W176" s="4" t="s">
        <v>256</v>
      </c>
      <c r="X176">
        <v>9.8522912393511439E-3</v>
      </c>
      <c r="Y176">
        <v>2.14</v>
      </c>
      <c r="Z176">
        <v>21</v>
      </c>
      <c r="AA176">
        <v>58.5</v>
      </c>
      <c r="AB176">
        <v>54</v>
      </c>
      <c r="AC176">
        <v>24.3</v>
      </c>
      <c r="AD176">
        <v>7.5</v>
      </c>
      <c r="AE176">
        <v>1400</v>
      </c>
      <c r="AF176">
        <v>29.6</v>
      </c>
      <c r="AG176">
        <v>36.200000000000003</v>
      </c>
      <c r="AH176">
        <v>23</v>
      </c>
      <c r="AI176">
        <v>47</v>
      </c>
      <c r="AJ176">
        <v>16.3</v>
      </c>
      <c r="AK176">
        <v>22.1</v>
      </c>
      <c r="AL176">
        <v>14.3</v>
      </c>
      <c r="AM176">
        <v>22.2</v>
      </c>
      <c r="AN176">
        <v>21.5</v>
      </c>
      <c r="AO176">
        <v>34.6</v>
      </c>
      <c r="AP176">
        <v>46.35</v>
      </c>
      <c r="AQ176">
        <v>46.95</v>
      </c>
      <c r="AR176">
        <v>165</v>
      </c>
      <c r="AS176" t="s">
        <v>46</v>
      </c>
      <c r="AT176" t="s">
        <v>315</v>
      </c>
      <c r="AU176" t="s">
        <v>325</v>
      </c>
      <c r="AV176" t="s">
        <v>47</v>
      </c>
      <c r="AW176" t="s">
        <v>326</v>
      </c>
      <c r="AX176" t="s">
        <v>323</v>
      </c>
      <c r="AY176">
        <v>8.9999999999999993E-3</v>
      </c>
      <c r="AZ176">
        <v>9.4160000000000004</v>
      </c>
      <c r="BA176">
        <v>0.43641999999999997</v>
      </c>
      <c r="BB176">
        <v>1.09836</v>
      </c>
      <c r="BC176">
        <v>0.53999999999999904</v>
      </c>
      <c r="BD176">
        <v>0.860061618290903</v>
      </c>
      <c r="BE176" t="s">
        <v>319</v>
      </c>
      <c r="BF176" t="s">
        <v>320</v>
      </c>
    </row>
    <row r="177" spans="1:58" customFormat="1" x14ac:dyDescent="0.35">
      <c r="A177">
        <v>10</v>
      </c>
      <c r="B177">
        <v>10</v>
      </c>
      <c r="C177">
        <v>10</v>
      </c>
      <c r="D177">
        <v>10</v>
      </c>
      <c r="E177">
        <v>10</v>
      </c>
      <c r="F177">
        <v>10</v>
      </c>
      <c r="G177">
        <v>10</v>
      </c>
      <c r="H177">
        <v>10</v>
      </c>
      <c r="I177">
        <v>10</v>
      </c>
      <c r="J177">
        <v>10</v>
      </c>
      <c r="K177">
        <v>10</v>
      </c>
      <c r="L177">
        <v>10</v>
      </c>
      <c r="M177">
        <v>10</v>
      </c>
      <c r="N177">
        <v>10</v>
      </c>
      <c r="O177">
        <v>10</v>
      </c>
      <c r="P177">
        <v>10</v>
      </c>
      <c r="Q177">
        <v>10</v>
      </c>
      <c r="R177">
        <v>10</v>
      </c>
      <c r="S177">
        <v>10</v>
      </c>
      <c r="T177">
        <v>10</v>
      </c>
      <c r="U177">
        <v>10</v>
      </c>
      <c r="V177">
        <f>MAX(A177:U177)</f>
        <v>10</v>
      </c>
      <c r="W177" s="4" t="s">
        <v>257</v>
      </c>
      <c r="Y177">
        <v>0</v>
      </c>
      <c r="Z177">
        <v>27</v>
      </c>
      <c r="AA177">
        <v>46.3</v>
      </c>
      <c r="AB177">
        <v>43</v>
      </c>
      <c r="AC177">
        <v>33.4</v>
      </c>
      <c r="AD177">
        <v>3</v>
      </c>
      <c r="AE177">
        <v>1044</v>
      </c>
      <c r="AF177">
        <v>23.2</v>
      </c>
      <c r="AG177">
        <v>27.4</v>
      </c>
      <c r="AH177">
        <v>18.600000000000001</v>
      </c>
      <c r="AI177">
        <v>35</v>
      </c>
      <c r="AJ177">
        <v>25.6</v>
      </c>
      <c r="AK177">
        <v>45.2</v>
      </c>
      <c r="AL177">
        <v>23</v>
      </c>
      <c r="AM177">
        <v>37</v>
      </c>
      <c r="AN177">
        <v>20</v>
      </c>
      <c r="AO177">
        <v>34.200000000000003</v>
      </c>
      <c r="AP177">
        <v>39.25</v>
      </c>
      <c r="AQ177">
        <v>39.299999999999997</v>
      </c>
      <c r="AR177">
        <v>152</v>
      </c>
      <c r="AS177" t="s">
        <v>49</v>
      </c>
      <c r="AT177">
        <v>0</v>
      </c>
      <c r="AU177" t="s">
        <v>321</v>
      </c>
      <c r="AV177" t="s">
        <v>47</v>
      </c>
      <c r="AW177" t="s">
        <v>317</v>
      </c>
      <c r="AX177" t="s">
        <v>323</v>
      </c>
      <c r="AY177">
        <v>0</v>
      </c>
      <c r="AZ177">
        <v>10</v>
      </c>
      <c r="BA177">
        <v>0</v>
      </c>
      <c r="BB177">
        <v>0</v>
      </c>
      <c r="BC177">
        <v>0</v>
      </c>
      <c r="BD177">
        <v>0</v>
      </c>
      <c r="BE177" t="s">
        <v>328</v>
      </c>
      <c r="BF177" t="s">
        <v>320</v>
      </c>
    </row>
    <row r="178" spans="1:58" customFormat="1" x14ac:dyDescent="0.35">
      <c r="A178">
        <v>12</v>
      </c>
      <c r="B178">
        <v>12</v>
      </c>
      <c r="C178">
        <v>10</v>
      </c>
      <c r="D178">
        <v>10</v>
      </c>
      <c r="E178">
        <v>10</v>
      </c>
      <c r="F178">
        <v>11</v>
      </c>
      <c r="G178">
        <v>14</v>
      </c>
      <c r="H178">
        <v>10</v>
      </c>
      <c r="I178">
        <v>13</v>
      </c>
      <c r="J178">
        <v>18</v>
      </c>
      <c r="K178">
        <v>25</v>
      </c>
      <c r="L178">
        <v>25</v>
      </c>
      <c r="M178">
        <v>24</v>
      </c>
      <c r="N178">
        <v>24</v>
      </c>
      <c r="O178">
        <v>16</v>
      </c>
      <c r="P178">
        <v>21</v>
      </c>
      <c r="Q178">
        <v>23</v>
      </c>
      <c r="R178">
        <v>31</v>
      </c>
      <c r="S178">
        <v>30</v>
      </c>
      <c r="T178">
        <v>32</v>
      </c>
      <c r="U178">
        <v>25</v>
      </c>
      <c r="V178">
        <f>MAX(A178:U178)</f>
        <v>32</v>
      </c>
      <c r="W178" s="4" t="s">
        <v>258</v>
      </c>
      <c r="X178">
        <v>1.071949451994216E-2</v>
      </c>
      <c r="Y178">
        <v>55.65</v>
      </c>
      <c r="Z178" t="s">
        <v>189</v>
      </c>
      <c r="AA178">
        <v>65.599999999999994</v>
      </c>
      <c r="AB178">
        <v>45</v>
      </c>
      <c r="AC178">
        <v>22.6</v>
      </c>
      <c r="AD178">
        <v>8</v>
      </c>
      <c r="AE178">
        <v>1529</v>
      </c>
      <c r="AF178">
        <v>31.5</v>
      </c>
      <c r="AG178">
        <v>37.6</v>
      </c>
      <c r="AH178">
        <v>24.9</v>
      </c>
      <c r="AI178">
        <v>48.8</v>
      </c>
      <c r="AJ178">
        <v>15.5</v>
      </c>
      <c r="AK178">
        <v>21.3</v>
      </c>
      <c r="AL178">
        <v>13.6</v>
      </c>
      <c r="AM178">
        <v>21.1</v>
      </c>
      <c r="AN178">
        <v>22.7</v>
      </c>
      <c r="AO178">
        <v>36.25</v>
      </c>
      <c r="AP178">
        <v>44.05</v>
      </c>
      <c r="AQ178">
        <v>45.75</v>
      </c>
      <c r="AR178">
        <v>170</v>
      </c>
      <c r="AS178" t="s">
        <v>46</v>
      </c>
      <c r="AT178" t="s">
        <v>315</v>
      </c>
      <c r="AU178" t="s">
        <v>321</v>
      </c>
      <c r="AV178" t="s">
        <v>47</v>
      </c>
      <c r="AW178" t="s">
        <v>317</v>
      </c>
      <c r="AX178" t="s">
        <v>318</v>
      </c>
      <c r="AY178">
        <v>5.8999999999999997E-2</v>
      </c>
      <c r="AZ178">
        <v>7.8639999999999999</v>
      </c>
      <c r="BA178">
        <v>0.76249</v>
      </c>
      <c r="BB178">
        <v>3.6354500000000001</v>
      </c>
      <c r="BC178">
        <v>3.54</v>
      </c>
      <c r="BD178">
        <v>3.8741689638397898</v>
      </c>
      <c r="BE178" t="s">
        <v>319</v>
      </c>
      <c r="BF178" t="s">
        <v>324</v>
      </c>
    </row>
    <row r="179" spans="1:58" customFormat="1" x14ac:dyDescent="0.35">
      <c r="A179">
        <v>10</v>
      </c>
      <c r="B179">
        <v>10</v>
      </c>
      <c r="C179">
        <v>10</v>
      </c>
      <c r="D179">
        <v>12</v>
      </c>
      <c r="E179">
        <v>20</v>
      </c>
      <c r="F179">
        <v>18</v>
      </c>
      <c r="G179">
        <v>21</v>
      </c>
      <c r="H179">
        <v>10</v>
      </c>
      <c r="I179">
        <v>10</v>
      </c>
      <c r="J179">
        <v>12</v>
      </c>
      <c r="K179">
        <v>12</v>
      </c>
      <c r="L179">
        <v>10</v>
      </c>
      <c r="M179">
        <v>10</v>
      </c>
      <c r="N179">
        <v>12</v>
      </c>
      <c r="O179">
        <v>11</v>
      </c>
      <c r="P179">
        <v>10</v>
      </c>
      <c r="Q179">
        <v>14</v>
      </c>
      <c r="R179">
        <v>15</v>
      </c>
      <c r="S179">
        <v>14</v>
      </c>
      <c r="T179">
        <v>15</v>
      </c>
      <c r="U179">
        <v>12</v>
      </c>
      <c r="V179">
        <f>MAX(A179:U179)</f>
        <v>21</v>
      </c>
      <c r="W179" s="4" t="s">
        <v>259</v>
      </c>
      <c r="X179">
        <v>0.55408933333230592</v>
      </c>
      <c r="Y179">
        <v>10.85</v>
      </c>
      <c r="Z179">
        <v>32</v>
      </c>
      <c r="AA179">
        <v>40</v>
      </c>
      <c r="AB179">
        <v>44</v>
      </c>
      <c r="AC179">
        <v>25.4</v>
      </c>
      <c r="AD179">
        <v>2</v>
      </c>
      <c r="AE179">
        <v>969</v>
      </c>
      <c r="AF179">
        <v>25.1</v>
      </c>
      <c r="AG179">
        <v>31.1</v>
      </c>
      <c r="AH179">
        <v>20.6</v>
      </c>
      <c r="AI179">
        <v>37.1</v>
      </c>
      <c r="AJ179">
        <v>20.2</v>
      </c>
      <c r="AK179">
        <v>35.700000000000003</v>
      </c>
      <c r="AL179">
        <v>16.600000000000001</v>
      </c>
      <c r="AM179">
        <v>29.2</v>
      </c>
      <c r="AN179">
        <v>18.3</v>
      </c>
      <c r="AO179">
        <v>34.450000000000003</v>
      </c>
      <c r="AP179">
        <v>43.8</v>
      </c>
      <c r="AQ179">
        <v>38.1</v>
      </c>
      <c r="AR179">
        <v>148</v>
      </c>
      <c r="AS179" t="s">
        <v>49</v>
      </c>
      <c r="AT179" t="s">
        <v>315</v>
      </c>
      <c r="AU179" t="s">
        <v>316</v>
      </c>
      <c r="AV179" t="s">
        <v>47</v>
      </c>
      <c r="AW179" t="s">
        <v>317</v>
      </c>
      <c r="AX179" t="s">
        <v>323</v>
      </c>
      <c r="AY179">
        <v>1E-3</v>
      </c>
      <c r="AZ179">
        <v>12.564</v>
      </c>
      <c r="BA179">
        <v>1.2700000000000001E-3</v>
      </c>
      <c r="BB179">
        <v>3.29155</v>
      </c>
      <c r="BC179">
        <v>0.06</v>
      </c>
      <c r="BD179">
        <v>0.99432463110102098</v>
      </c>
      <c r="BE179" t="s">
        <v>319</v>
      </c>
      <c r="BF179" t="s">
        <v>320</v>
      </c>
    </row>
    <row r="180" spans="1:58" customFormat="1" x14ac:dyDescent="0.35">
      <c r="A180">
        <v>10</v>
      </c>
      <c r="B180">
        <v>10</v>
      </c>
      <c r="C180">
        <v>12</v>
      </c>
      <c r="D180">
        <v>12</v>
      </c>
      <c r="E180">
        <v>13</v>
      </c>
      <c r="F180">
        <v>13</v>
      </c>
      <c r="G180">
        <v>13</v>
      </c>
      <c r="H180">
        <v>10</v>
      </c>
      <c r="I180">
        <v>13</v>
      </c>
      <c r="J180">
        <v>13</v>
      </c>
      <c r="K180">
        <v>17</v>
      </c>
      <c r="L180">
        <v>17</v>
      </c>
      <c r="M180">
        <v>17</v>
      </c>
      <c r="N180">
        <v>17</v>
      </c>
      <c r="O180">
        <v>15</v>
      </c>
      <c r="P180">
        <v>17</v>
      </c>
      <c r="Q180">
        <v>17</v>
      </c>
      <c r="R180">
        <v>17</v>
      </c>
      <c r="S180">
        <v>17</v>
      </c>
      <c r="T180">
        <v>17</v>
      </c>
      <c r="U180">
        <v>17</v>
      </c>
      <c r="V180">
        <f>MAX(A180:U180)</f>
        <v>17</v>
      </c>
      <c r="W180" s="4" t="s">
        <v>260</v>
      </c>
      <c r="X180">
        <v>1.101369904345374E-5</v>
      </c>
      <c r="Y180">
        <v>7.01</v>
      </c>
      <c r="Z180">
        <v>25</v>
      </c>
      <c r="AA180">
        <v>76.8</v>
      </c>
      <c r="AB180">
        <v>55</v>
      </c>
      <c r="AC180">
        <v>41</v>
      </c>
      <c r="AD180">
        <v>11</v>
      </c>
      <c r="AE180">
        <v>1469</v>
      </c>
      <c r="AF180">
        <v>21.4</v>
      </c>
      <c r="AG180">
        <v>18.7</v>
      </c>
      <c r="AH180">
        <v>15</v>
      </c>
      <c r="AI180">
        <v>34.5</v>
      </c>
      <c r="AJ180">
        <v>35.299999999999997</v>
      </c>
      <c r="AK180">
        <v>55</v>
      </c>
      <c r="AL180">
        <v>32.1</v>
      </c>
      <c r="AM180">
        <v>49.8</v>
      </c>
      <c r="AN180">
        <v>28.2</v>
      </c>
      <c r="AO180">
        <v>47.4</v>
      </c>
      <c r="AP180">
        <v>53.75</v>
      </c>
      <c r="AQ180">
        <v>45.8</v>
      </c>
      <c r="AR180">
        <v>165</v>
      </c>
      <c r="AS180" t="s">
        <v>49</v>
      </c>
      <c r="AT180" t="s">
        <v>315</v>
      </c>
      <c r="AU180" t="s">
        <v>321</v>
      </c>
      <c r="AV180" t="s">
        <v>52</v>
      </c>
      <c r="AW180" t="s">
        <v>326</v>
      </c>
      <c r="AX180" t="s">
        <v>323</v>
      </c>
      <c r="AY180">
        <v>2.1000000000000001E-2</v>
      </c>
      <c r="AZ180">
        <v>10.554</v>
      </c>
      <c r="BA180">
        <v>0.77034000000000002</v>
      </c>
      <c r="BB180">
        <v>1.26894</v>
      </c>
      <c r="BC180">
        <v>1.26</v>
      </c>
      <c r="BD180">
        <v>1.23950056753688</v>
      </c>
      <c r="BE180" t="s">
        <v>319</v>
      </c>
      <c r="BF180" t="s">
        <v>320</v>
      </c>
    </row>
    <row r="181" spans="1:58" customFormat="1" x14ac:dyDescent="0.35">
      <c r="A181">
        <v>10</v>
      </c>
      <c r="B181">
        <v>10</v>
      </c>
      <c r="C181">
        <v>10</v>
      </c>
      <c r="D181">
        <v>10</v>
      </c>
      <c r="E181">
        <v>10</v>
      </c>
      <c r="F181">
        <v>10</v>
      </c>
      <c r="G181">
        <v>10</v>
      </c>
      <c r="H181">
        <v>10</v>
      </c>
      <c r="I181">
        <v>10</v>
      </c>
      <c r="J181">
        <v>10</v>
      </c>
      <c r="K181">
        <v>10</v>
      </c>
      <c r="L181">
        <v>10</v>
      </c>
      <c r="M181">
        <v>10</v>
      </c>
      <c r="N181">
        <v>10</v>
      </c>
      <c r="O181">
        <v>10</v>
      </c>
      <c r="P181">
        <v>11</v>
      </c>
      <c r="Q181">
        <v>11</v>
      </c>
      <c r="R181">
        <v>11</v>
      </c>
      <c r="S181">
        <v>11</v>
      </c>
      <c r="T181">
        <v>11</v>
      </c>
      <c r="U181">
        <v>11</v>
      </c>
      <c r="V181">
        <f>MAX(A181:U181)</f>
        <v>11</v>
      </c>
      <c r="W181" s="4" t="s">
        <v>261</v>
      </c>
      <c r="X181">
        <v>1.5130803199218249E-2</v>
      </c>
      <c r="Y181">
        <v>0.2</v>
      </c>
      <c r="Z181" t="s">
        <v>262</v>
      </c>
      <c r="AA181">
        <v>49.7</v>
      </c>
      <c r="AB181">
        <v>58</v>
      </c>
      <c r="AC181">
        <v>28.8</v>
      </c>
      <c r="AD181">
        <v>3</v>
      </c>
      <c r="AE181">
        <v>1114</v>
      </c>
      <c r="AF181">
        <v>25.3</v>
      </c>
      <c r="AG181">
        <v>29.1</v>
      </c>
      <c r="AH181">
        <v>19.899999999999999</v>
      </c>
      <c r="AI181">
        <v>36.700000000000003</v>
      </c>
      <c r="AJ181">
        <v>22.6</v>
      </c>
      <c r="AK181">
        <v>38.9</v>
      </c>
      <c r="AL181">
        <v>19.399999999999999</v>
      </c>
      <c r="AM181">
        <v>31.2</v>
      </c>
      <c r="AN181">
        <v>19.2</v>
      </c>
      <c r="AO181">
        <v>36.700000000000003</v>
      </c>
      <c r="AP181">
        <v>44.45</v>
      </c>
      <c r="AQ181">
        <v>45.95</v>
      </c>
      <c r="AR181">
        <v>161</v>
      </c>
      <c r="AS181" t="s">
        <v>49</v>
      </c>
      <c r="AT181" t="s">
        <v>330</v>
      </c>
      <c r="AU181" t="s">
        <v>322</v>
      </c>
      <c r="AV181" t="s">
        <v>47</v>
      </c>
      <c r="AW181" t="s">
        <v>326</v>
      </c>
      <c r="AX181" t="s">
        <v>323</v>
      </c>
      <c r="AY181">
        <v>3.0000000000000001E-3</v>
      </c>
      <c r="AZ181">
        <v>9.6920000000000002</v>
      </c>
      <c r="BA181">
        <v>0.60665999999999998</v>
      </c>
      <c r="BB181">
        <v>0.28333000000000003</v>
      </c>
      <c r="BC181">
        <v>0.18</v>
      </c>
      <c r="BD181">
        <v>0.33857629317334198</v>
      </c>
      <c r="BE181" t="s">
        <v>319</v>
      </c>
      <c r="BF181" t="s">
        <v>320</v>
      </c>
    </row>
    <row r="182" spans="1:58" customFormat="1" x14ac:dyDescent="0.35">
      <c r="A182">
        <v>10</v>
      </c>
      <c r="B182">
        <v>12</v>
      </c>
      <c r="C182">
        <v>13</v>
      </c>
      <c r="D182">
        <v>13</v>
      </c>
      <c r="E182">
        <v>14</v>
      </c>
      <c r="F182">
        <v>15</v>
      </c>
      <c r="G182">
        <v>17</v>
      </c>
      <c r="H182">
        <v>10</v>
      </c>
      <c r="I182">
        <v>11</v>
      </c>
      <c r="J182">
        <v>13</v>
      </c>
      <c r="K182">
        <v>15</v>
      </c>
      <c r="L182">
        <v>16</v>
      </c>
      <c r="M182">
        <v>17</v>
      </c>
      <c r="N182">
        <v>17</v>
      </c>
      <c r="O182">
        <v>10</v>
      </c>
      <c r="P182">
        <v>13</v>
      </c>
      <c r="Q182">
        <v>16</v>
      </c>
      <c r="R182">
        <v>16</v>
      </c>
      <c r="S182">
        <v>18</v>
      </c>
      <c r="T182">
        <v>19</v>
      </c>
      <c r="U182">
        <v>18</v>
      </c>
      <c r="V182">
        <f>MAX(A182:U182)</f>
        <v>19</v>
      </c>
      <c r="W182" s="4" t="s">
        <v>263</v>
      </c>
      <c r="X182">
        <v>1.690947694693287E-3</v>
      </c>
      <c r="Y182">
        <v>7.58</v>
      </c>
      <c r="Z182">
        <v>31</v>
      </c>
      <c r="AA182">
        <v>78.5</v>
      </c>
      <c r="AB182">
        <v>59</v>
      </c>
      <c r="AC182">
        <v>30</v>
      </c>
      <c r="AD182">
        <v>16</v>
      </c>
      <c r="AE182">
        <v>1691</v>
      </c>
      <c r="AF182">
        <v>27.9</v>
      </c>
      <c r="AG182">
        <v>34.200000000000003</v>
      </c>
      <c r="AH182">
        <v>20.100000000000001</v>
      </c>
      <c r="AI182">
        <v>45.3</v>
      </c>
      <c r="AJ182">
        <v>20.9</v>
      </c>
      <c r="AK182">
        <v>27.1</v>
      </c>
      <c r="AL182">
        <v>19</v>
      </c>
      <c r="AM182">
        <v>27.7</v>
      </c>
      <c r="AN182">
        <v>27.5</v>
      </c>
      <c r="AO182">
        <v>41.05</v>
      </c>
      <c r="AP182">
        <v>47.4</v>
      </c>
      <c r="AQ182">
        <v>47.95</v>
      </c>
      <c r="AR182">
        <v>169</v>
      </c>
      <c r="AS182" t="s">
        <v>46</v>
      </c>
      <c r="AT182" t="s">
        <v>330</v>
      </c>
      <c r="AU182" t="s">
        <v>322</v>
      </c>
      <c r="AV182" t="s">
        <v>52</v>
      </c>
      <c r="AW182" t="s">
        <v>326</v>
      </c>
      <c r="AX182" t="s">
        <v>318</v>
      </c>
      <c r="AY182">
        <v>1.6E-2</v>
      </c>
      <c r="AZ182">
        <v>11.467000000000001</v>
      </c>
      <c r="BA182">
        <v>0.40642</v>
      </c>
      <c r="BB182">
        <v>2.1209199999999999</v>
      </c>
      <c r="BC182">
        <v>0.96</v>
      </c>
      <c r="BD182">
        <v>1.6870439435706099</v>
      </c>
      <c r="BE182" t="s">
        <v>319</v>
      </c>
      <c r="BF182" t="s">
        <v>320</v>
      </c>
    </row>
    <row r="183" spans="1:58" customFormat="1" x14ac:dyDescent="0.35">
      <c r="A183">
        <v>10</v>
      </c>
      <c r="B183">
        <v>10</v>
      </c>
      <c r="C183">
        <v>10</v>
      </c>
      <c r="D183">
        <v>10</v>
      </c>
      <c r="E183">
        <v>10</v>
      </c>
      <c r="F183">
        <v>12</v>
      </c>
      <c r="G183">
        <v>12</v>
      </c>
      <c r="H183">
        <v>10</v>
      </c>
      <c r="I183">
        <v>10</v>
      </c>
      <c r="J183">
        <v>10</v>
      </c>
      <c r="K183">
        <v>10</v>
      </c>
      <c r="L183">
        <v>10</v>
      </c>
      <c r="M183">
        <v>11</v>
      </c>
      <c r="N183">
        <v>11</v>
      </c>
      <c r="O183">
        <v>10</v>
      </c>
      <c r="P183">
        <v>10</v>
      </c>
      <c r="Q183">
        <v>11</v>
      </c>
      <c r="R183">
        <v>11</v>
      </c>
      <c r="S183">
        <v>11</v>
      </c>
      <c r="T183">
        <v>11</v>
      </c>
      <c r="U183">
        <v>11</v>
      </c>
      <c r="V183">
        <f>MAX(A183:U183)</f>
        <v>12</v>
      </c>
      <c r="W183" s="4" t="s">
        <v>264</v>
      </c>
      <c r="X183">
        <v>5.7493762815631719E-2</v>
      </c>
      <c r="Y183">
        <v>0.44</v>
      </c>
      <c r="Z183">
        <v>19</v>
      </c>
      <c r="AA183">
        <v>53.2</v>
      </c>
      <c r="AB183">
        <v>48</v>
      </c>
      <c r="AC183">
        <v>10.8</v>
      </c>
      <c r="AD183">
        <v>3.5</v>
      </c>
      <c r="AE183">
        <v>1369</v>
      </c>
      <c r="AF183">
        <v>35.1</v>
      </c>
      <c r="AG183">
        <v>40.700000000000003</v>
      </c>
      <c r="AH183">
        <v>31</v>
      </c>
      <c r="AI183">
        <v>52.3</v>
      </c>
      <c r="AJ183">
        <v>7.6</v>
      </c>
      <c r="AK183">
        <v>11.3</v>
      </c>
      <c r="AL183">
        <v>6.2</v>
      </c>
      <c r="AM183">
        <v>10.1</v>
      </c>
      <c r="AN183">
        <v>19.3</v>
      </c>
      <c r="AO183">
        <v>36.25</v>
      </c>
      <c r="AP183">
        <v>46.4</v>
      </c>
      <c r="AQ183">
        <v>51.35</v>
      </c>
      <c r="AR183">
        <v>166</v>
      </c>
      <c r="AS183" t="s">
        <v>46</v>
      </c>
      <c r="AT183">
        <v>0</v>
      </c>
      <c r="AU183" t="s">
        <v>325</v>
      </c>
      <c r="AV183" t="s">
        <v>47</v>
      </c>
      <c r="AW183" t="s">
        <v>317</v>
      </c>
      <c r="AX183" t="s">
        <v>323</v>
      </c>
      <c r="AY183">
        <v>2E-3</v>
      </c>
      <c r="AZ183">
        <v>10.138999999999999</v>
      </c>
      <c r="BA183">
        <v>0.11823</v>
      </c>
      <c r="BB183">
        <v>0.62280999999999997</v>
      </c>
      <c r="BC183">
        <v>0.12</v>
      </c>
      <c r="BD183">
        <v>0.30160531863142498</v>
      </c>
      <c r="BE183" t="s">
        <v>319</v>
      </c>
      <c r="BF183" t="s">
        <v>320</v>
      </c>
    </row>
    <row r="184" spans="1:58" customFormat="1" x14ac:dyDescent="0.35">
      <c r="A184">
        <v>10</v>
      </c>
      <c r="B184">
        <v>11</v>
      </c>
      <c r="C184">
        <v>13</v>
      </c>
      <c r="D184">
        <v>13</v>
      </c>
      <c r="E184">
        <v>13</v>
      </c>
      <c r="F184">
        <v>15</v>
      </c>
      <c r="G184">
        <v>15</v>
      </c>
      <c r="H184">
        <v>10</v>
      </c>
      <c r="I184">
        <v>11</v>
      </c>
      <c r="J184">
        <v>13</v>
      </c>
      <c r="K184">
        <v>17</v>
      </c>
      <c r="L184">
        <v>19</v>
      </c>
      <c r="M184">
        <v>19</v>
      </c>
      <c r="N184">
        <v>17</v>
      </c>
      <c r="O184">
        <v>10</v>
      </c>
      <c r="P184">
        <v>10</v>
      </c>
      <c r="Q184">
        <v>13</v>
      </c>
      <c r="R184">
        <v>15</v>
      </c>
      <c r="S184">
        <v>15</v>
      </c>
      <c r="T184">
        <v>15</v>
      </c>
      <c r="U184">
        <v>16</v>
      </c>
      <c r="V184">
        <f>MAX(A184:U184)</f>
        <v>19</v>
      </c>
      <c r="W184" s="4" t="s">
        <v>265</v>
      </c>
      <c r="X184">
        <v>0.36284455366311441</v>
      </c>
      <c r="Y184">
        <v>7.77</v>
      </c>
      <c r="Z184">
        <v>32</v>
      </c>
      <c r="AA184">
        <v>56.2</v>
      </c>
      <c r="AB184">
        <v>45</v>
      </c>
      <c r="AC184">
        <v>13.7</v>
      </c>
      <c r="AD184">
        <v>1</v>
      </c>
      <c r="AE184">
        <v>1417</v>
      </c>
      <c r="AF184">
        <v>35.799999999999997</v>
      </c>
      <c r="AG184">
        <v>41.4</v>
      </c>
      <c r="AH184">
        <v>30.7</v>
      </c>
      <c r="AI184">
        <v>53</v>
      </c>
      <c r="AJ184">
        <v>9.1</v>
      </c>
      <c r="AK184">
        <v>14.1</v>
      </c>
      <c r="AL184">
        <v>7.4</v>
      </c>
      <c r="AM184">
        <v>13.1</v>
      </c>
      <c r="AN184">
        <v>17.3</v>
      </c>
      <c r="AO184">
        <v>35.5</v>
      </c>
      <c r="AP184">
        <v>48.9</v>
      </c>
      <c r="AQ184">
        <v>49.65</v>
      </c>
      <c r="AR184">
        <v>180</v>
      </c>
      <c r="AS184" t="s">
        <v>46</v>
      </c>
      <c r="AT184">
        <v>0</v>
      </c>
      <c r="AU184" t="s">
        <v>325</v>
      </c>
      <c r="AV184" t="s">
        <v>47</v>
      </c>
      <c r="AW184" t="s">
        <v>317</v>
      </c>
      <c r="AX184" t="s">
        <v>318</v>
      </c>
      <c r="AY184">
        <v>0.01</v>
      </c>
      <c r="AZ184">
        <v>12.035</v>
      </c>
      <c r="BA184">
        <v>0.14216999999999999</v>
      </c>
      <c r="BB184">
        <v>2.5822699999999998</v>
      </c>
      <c r="BC184">
        <v>0.6</v>
      </c>
      <c r="BD184">
        <v>0.55261877736338505</v>
      </c>
      <c r="BE184" t="s">
        <v>319</v>
      </c>
      <c r="BF184" t="s">
        <v>320</v>
      </c>
    </row>
    <row r="185" spans="1:58" customFormat="1" x14ac:dyDescent="0.35">
      <c r="A185">
        <v>10</v>
      </c>
      <c r="B185">
        <v>11</v>
      </c>
      <c r="C185">
        <v>11</v>
      </c>
      <c r="D185">
        <v>12</v>
      </c>
      <c r="E185">
        <v>12</v>
      </c>
      <c r="F185">
        <v>14</v>
      </c>
      <c r="G185">
        <v>10</v>
      </c>
      <c r="H185">
        <v>10</v>
      </c>
      <c r="I185">
        <v>10</v>
      </c>
      <c r="J185">
        <v>10</v>
      </c>
      <c r="K185">
        <v>16</v>
      </c>
      <c r="L185">
        <v>16</v>
      </c>
      <c r="M185">
        <v>13</v>
      </c>
      <c r="N185">
        <v>17</v>
      </c>
      <c r="O185">
        <v>12</v>
      </c>
      <c r="P185">
        <v>12</v>
      </c>
      <c r="Q185">
        <v>10</v>
      </c>
      <c r="R185">
        <v>12</v>
      </c>
      <c r="S185">
        <v>15</v>
      </c>
      <c r="T185">
        <v>14</v>
      </c>
      <c r="U185">
        <v>19</v>
      </c>
      <c r="V185">
        <f>MAX(A185:U185)</f>
        <v>19</v>
      </c>
      <c r="W185" s="4" t="s">
        <v>266</v>
      </c>
      <c r="X185">
        <v>9.2848551869246593E-2</v>
      </c>
      <c r="Y185">
        <v>6.7</v>
      </c>
      <c r="Z185">
        <v>26</v>
      </c>
      <c r="AA185">
        <v>84.8</v>
      </c>
      <c r="AB185">
        <v>54</v>
      </c>
      <c r="AC185">
        <v>27.3</v>
      </c>
      <c r="AD185">
        <v>14.5</v>
      </c>
      <c r="AE185">
        <v>1816</v>
      </c>
      <c r="AF185">
        <v>30.3</v>
      </c>
      <c r="AG185">
        <v>35.4</v>
      </c>
      <c r="AH185">
        <v>22.6</v>
      </c>
      <c r="AI185">
        <v>47.6</v>
      </c>
      <c r="AJ185">
        <v>19.2</v>
      </c>
      <c r="AK185">
        <v>24.1</v>
      </c>
      <c r="AL185">
        <v>17.5</v>
      </c>
      <c r="AM185">
        <v>24.5</v>
      </c>
      <c r="AN185">
        <v>27.4</v>
      </c>
      <c r="AO185">
        <v>42.1</v>
      </c>
      <c r="AP185">
        <v>48.7</v>
      </c>
      <c r="AQ185">
        <v>48.75</v>
      </c>
      <c r="AR185">
        <v>176</v>
      </c>
      <c r="AS185" t="s">
        <v>46</v>
      </c>
      <c r="AT185" t="s">
        <v>330</v>
      </c>
      <c r="AU185" t="s">
        <v>321</v>
      </c>
      <c r="AV185" t="s">
        <v>52</v>
      </c>
      <c r="AW185" t="s">
        <v>326</v>
      </c>
      <c r="AX185" t="s">
        <v>318</v>
      </c>
      <c r="AY185">
        <v>1.2E-2</v>
      </c>
      <c r="AZ185">
        <v>10.356999999999999</v>
      </c>
      <c r="BA185">
        <v>0.27953</v>
      </c>
      <c r="BB185">
        <v>2.1968200000000002</v>
      </c>
      <c r="BC185">
        <v>0.72</v>
      </c>
      <c r="BD185">
        <v>1.0779957840116701</v>
      </c>
      <c r="BE185" t="s">
        <v>319</v>
      </c>
      <c r="BF185" t="s">
        <v>320</v>
      </c>
    </row>
    <row r="186" spans="1:58" customFormat="1" x14ac:dyDescent="0.35">
      <c r="A186">
        <v>10</v>
      </c>
      <c r="B186">
        <v>10</v>
      </c>
      <c r="C186">
        <v>11</v>
      </c>
      <c r="D186">
        <v>12</v>
      </c>
      <c r="E186">
        <v>13</v>
      </c>
      <c r="F186">
        <v>12</v>
      </c>
      <c r="G186">
        <v>11</v>
      </c>
      <c r="H186">
        <v>10</v>
      </c>
      <c r="I186">
        <v>10</v>
      </c>
      <c r="J186">
        <v>12</v>
      </c>
      <c r="K186">
        <v>14</v>
      </c>
      <c r="L186">
        <v>13</v>
      </c>
      <c r="M186">
        <v>13</v>
      </c>
      <c r="N186">
        <v>11</v>
      </c>
      <c r="O186">
        <v>10</v>
      </c>
      <c r="P186">
        <v>11</v>
      </c>
      <c r="Q186">
        <v>11</v>
      </c>
      <c r="R186">
        <v>11</v>
      </c>
      <c r="S186">
        <v>14</v>
      </c>
      <c r="T186">
        <v>14</v>
      </c>
      <c r="U186">
        <v>17</v>
      </c>
      <c r="V186">
        <f>MAX(A186:U186)</f>
        <v>17</v>
      </c>
      <c r="W186" s="4" t="s">
        <v>267</v>
      </c>
      <c r="X186">
        <v>6.0035784907287483E-2</v>
      </c>
      <c r="Y186">
        <v>3.13</v>
      </c>
      <c r="Z186">
        <v>27</v>
      </c>
      <c r="AA186">
        <v>54.7</v>
      </c>
      <c r="AB186">
        <v>49</v>
      </c>
      <c r="AC186">
        <v>33.200000000000003</v>
      </c>
      <c r="AD186">
        <v>3.5</v>
      </c>
      <c r="AE186">
        <v>1176</v>
      </c>
      <c r="AF186">
        <v>24.1</v>
      </c>
      <c r="AG186">
        <v>26.6</v>
      </c>
      <c r="AH186">
        <v>18.8</v>
      </c>
      <c r="AI186">
        <v>35.6</v>
      </c>
      <c r="AJ186">
        <v>25.8</v>
      </c>
      <c r="AK186">
        <v>45.1</v>
      </c>
      <c r="AL186">
        <v>23.1</v>
      </c>
      <c r="AM186">
        <v>37.200000000000003</v>
      </c>
      <c r="AN186">
        <v>20.6</v>
      </c>
      <c r="AO186">
        <v>39.5</v>
      </c>
      <c r="AP186">
        <v>44.95</v>
      </c>
      <c r="AQ186">
        <v>45.3</v>
      </c>
      <c r="AR186">
        <v>163</v>
      </c>
      <c r="AS186" t="s">
        <v>49</v>
      </c>
      <c r="AT186" t="s">
        <v>330</v>
      </c>
      <c r="AU186" t="s">
        <v>321</v>
      </c>
      <c r="AV186" t="s">
        <v>47</v>
      </c>
      <c r="AW186" t="s">
        <v>317</v>
      </c>
      <c r="AX186" t="s">
        <v>323</v>
      </c>
      <c r="AY186">
        <v>8.0000000000000002E-3</v>
      </c>
      <c r="AZ186">
        <v>10.362</v>
      </c>
      <c r="BA186">
        <v>0.26682</v>
      </c>
      <c r="BB186">
        <v>1.5158</v>
      </c>
      <c r="BC186">
        <v>0.48</v>
      </c>
      <c r="BD186">
        <v>0.86589914058699502</v>
      </c>
      <c r="BE186" t="s">
        <v>319</v>
      </c>
      <c r="BF186" t="s">
        <v>320</v>
      </c>
    </row>
    <row r="187" spans="1:58" customFormat="1" x14ac:dyDescent="0.35">
      <c r="A187">
        <v>11</v>
      </c>
      <c r="B187">
        <v>11</v>
      </c>
      <c r="C187">
        <v>17</v>
      </c>
      <c r="D187">
        <v>27</v>
      </c>
      <c r="E187">
        <v>32</v>
      </c>
      <c r="F187">
        <v>36</v>
      </c>
      <c r="G187">
        <v>36</v>
      </c>
      <c r="H187">
        <v>27</v>
      </c>
      <c r="I187">
        <v>30</v>
      </c>
      <c r="J187">
        <v>31</v>
      </c>
      <c r="K187">
        <v>34</v>
      </c>
      <c r="L187">
        <v>36</v>
      </c>
      <c r="M187">
        <v>37</v>
      </c>
      <c r="N187">
        <v>37</v>
      </c>
      <c r="O187">
        <v>32</v>
      </c>
      <c r="P187">
        <v>38</v>
      </c>
      <c r="Q187">
        <v>44</v>
      </c>
      <c r="R187">
        <v>40</v>
      </c>
      <c r="S187">
        <v>46</v>
      </c>
      <c r="T187">
        <v>48</v>
      </c>
      <c r="U187">
        <v>47</v>
      </c>
      <c r="V187">
        <f>MAX(A187:U187)</f>
        <v>48</v>
      </c>
      <c r="W187" s="4" t="s">
        <v>268</v>
      </c>
      <c r="X187">
        <v>7.5755827147940401E-5</v>
      </c>
      <c r="Y187">
        <v>102.63</v>
      </c>
      <c r="Z187">
        <v>31</v>
      </c>
      <c r="AA187">
        <v>63.9</v>
      </c>
      <c r="AB187">
        <v>51</v>
      </c>
      <c r="AC187">
        <v>19.2</v>
      </c>
      <c r="AD187">
        <v>7</v>
      </c>
      <c r="AE187">
        <v>1516</v>
      </c>
      <c r="AF187">
        <v>32.6</v>
      </c>
      <c r="AG187">
        <v>37.4</v>
      </c>
      <c r="AH187">
        <v>26.7</v>
      </c>
      <c r="AI187">
        <v>49.9</v>
      </c>
      <c r="AJ187">
        <v>13.2</v>
      </c>
      <c r="AK187">
        <v>17.7</v>
      </c>
      <c r="AL187">
        <v>11.5</v>
      </c>
      <c r="AM187">
        <v>17.3</v>
      </c>
      <c r="AN187">
        <v>21.6</v>
      </c>
      <c r="AO187">
        <v>37.799999999999997</v>
      </c>
      <c r="AP187">
        <v>47.6</v>
      </c>
      <c r="AQ187">
        <v>47.85</v>
      </c>
      <c r="AR187">
        <v>172</v>
      </c>
      <c r="AS187" t="s">
        <v>46</v>
      </c>
      <c r="AT187" t="s">
        <v>315</v>
      </c>
      <c r="AU187" t="s">
        <v>316</v>
      </c>
      <c r="AV187" t="s">
        <v>47</v>
      </c>
      <c r="AW187" t="s">
        <v>317</v>
      </c>
      <c r="AX187" t="s">
        <v>318</v>
      </c>
      <c r="AY187">
        <v>8.2000000000000003E-2</v>
      </c>
      <c r="AZ187">
        <v>17.981999999999999</v>
      </c>
      <c r="BA187">
        <v>0.79127999999999998</v>
      </c>
      <c r="BB187">
        <v>4.6283200000000004</v>
      </c>
      <c r="BC187">
        <v>4.92</v>
      </c>
      <c r="BD187">
        <v>4.87043943570617</v>
      </c>
      <c r="BE187" t="s">
        <v>319</v>
      </c>
      <c r="BF187" t="s">
        <v>324</v>
      </c>
    </row>
    <row r="188" spans="1:58" customFormat="1" x14ac:dyDescent="0.35">
      <c r="A188">
        <v>10</v>
      </c>
      <c r="B188">
        <v>11</v>
      </c>
      <c r="C188">
        <v>12</v>
      </c>
      <c r="D188">
        <v>14</v>
      </c>
      <c r="E188">
        <v>13</v>
      </c>
      <c r="F188">
        <v>13</v>
      </c>
      <c r="G188">
        <v>10</v>
      </c>
      <c r="H188">
        <v>10</v>
      </c>
      <c r="I188">
        <v>10</v>
      </c>
      <c r="J188">
        <v>11</v>
      </c>
      <c r="K188">
        <v>12</v>
      </c>
      <c r="L188">
        <v>16</v>
      </c>
      <c r="M188">
        <v>14</v>
      </c>
      <c r="N188">
        <v>15</v>
      </c>
      <c r="O188">
        <v>10</v>
      </c>
      <c r="P188">
        <v>14</v>
      </c>
      <c r="Q188">
        <v>14</v>
      </c>
      <c r="R188">
        <v>13</v>
      </c>
      <c r="S188">
        <v>18</v>
      </c>
      <c r="T188">
        <v>15</v>
      </c>
      <c r="U188">
        <v>15</v>
      </c>
      <c r="V188">
        <f>MAX(A188:U188)</f>
        <v>18</v>
      </c>
      <c r="W188" s="4" t="s">
        <v>269</v>
      </c>
      <c r="X188">
        <v>6.2619112925576162E-2</v>
      </c>
      <c r="Y188">
        <v>4.9800000000000004</v>
      </c>
      <c r="Z188" t="s">
        <v>270</v>
      </c>
      <c r="AA188">
        <v>78</v>
      </c>
      <c r="AB188">
        <v>49</v>
      </c>
      <c r="AC188">
        <v>27</v>
      </c>
      <c r="AD188">
        <v>12</v>
      </c>
      <c r="AE188">
        <v>1708</v>
      </c>
      <c r="AF188">
        <v>30.2</v>
      </c>
      <c r="AG188">
        <v>35.6</v>
      </c>
      <c r="AH188">
        <v>22.7</v>
      </c>
      <c r="AI188">
        <v>47.5</v>
      </c>
      <c r="AJ188">
        <v>18.600000000000001</v>
      </c>
      <c r="AK188">
        <v>24.9</v>
      </c>
      <c r="AL188">
        <v>16.8</v>
      </c>
      <c r="AM188">
        <v>25.1</v>
      </c>
      <c r="AN188">
        <v>25.5</v>
      </c>
      <c r="AO188">
        <v>38.700000000000003</v>
      </c>
      <c r="AP188">
        <v>46.1</v>
      </c>
      <c r="AQ188">
        <v>49.45</v>
      </c>
      <c r="AR188">
        <v>175</v>
      </c>
      <c r="AS188" t="s">
        <v>46</v>
      </c>
      <c r="AT188" t="s">
        <v>330</v>
      </c>
      <c r="AU188" t="s">
        <v>321</v>
      </c>
      <c r="AV188" t="s">
        <v>52</v>
      </c>
      <c r="AW188" t="s">
        <v>317</v>
      </c>
      <c r="AX188" t="s">
        <v>318</v>
      </c>
      <c r="AY188">
        <v>1.2E-2</v>
      </c>
      <c r="AZ188">
        <v>10.599</v>
      </c>
      <c r="BA188">
        <v>0.35948999999999998</v>
      </c>
      <c r="BB188">
        <v>1.7859100000000001</v>
      </c>
      <c r="BC188">
        <v>0.72</v>
      </c>
      <c r="BD188">
        <v>1.29787579049781</v>
      </c>
      <c r="BE188" t="s">
        <v>319</v>
      </c>
      <c r="BF188" t="s">
        <v>320</v>
      </c>
    </row>
    <row r="189" spans="1:58" customFormat="1" x14ac:dyDescent="0.35">
      <c r="A189">
        <v>10</v>
      </c>
      <c r="B189">
        <v>10</v>
      </c>
      <c r="C189">
        <v>12</v>
      </c>
      <c r="D189">
        <v>12</v>
      </c>
      <c r="E189">
        <v>12</v>
      </c>
      <c r="F189">
        <v>12</v>
      </c>
      <c r="G189">
        <v>12</v>
      </c>
      <c r="H189">
        <v>10</v>
      </c>
      <c r="I189">
        <v>10</v>
      </c>
      <c r="J189">
        <v>10</v>
      </c>
      <c r="K189">
        <v>10</v>
      </c>
      <c r="L189">
        <v>12</v>
      </c>
      <c r="M189">
        <v>12</v>
      </c>
      <c r="N189">
        <v>12</v>
      </c>
      <c r="O189">
        <v>10</v>
      </c>
      <c r="P189">
        <v>10</v>
      </c>
      <c r="Q189">
        <v>10</v>
      </c>
      <c r="R189">
        <v>12</v>
      </c>
      <c r="S189">
        <v>12</v>
      </c>
      <c r="T189">
        <v>12</v>
      </c>
      <c r="U189">
        <v>12</v>
      </c>
      <c r="V189">
        <f>MAX(A189:U189)</f>
        <v>12</v>
      </c>
      <c r="W189" s="4" t="s">
        <v>271</v>
      </c>
      <c r="X189">
        <v>0.29894920913661188</v>
      </c>
      <c r="Y189">
        <v>0.98</v>
      </c>
      <c r="Z189">
        <v>21</v>
      </c>
      <c r="AA189">
        <v>88.9</v>
      </c>
      <c r="AB189">
        <v>65</v>
      </c>
      <c r="AC189">
        <v>32.5</v>
      </c>
      <c r="AD189">
        <v>22.5</v>
      </c>
      <c r="AE189">
        <v>1837</v>
      </c>
      <c r="AF189">
        <v>26.9</v>
      </c>
      <c r="AG189">
        <v>32.200000000000003</v>
      </c>
      <c r="AH189">
        <v>18.7</v>
      </c>
      <c r="AI189">
        <v>44.4</v>
      </c>
      <c r="AJ189">
        <v>23</v>
      </c>
      <c r="AK189">
        <v>28.5</v>
      </c>
      <c r="AL189">
        <v>21.3</v>
      </c>
      <c r="AM189">
        <v>29.4</v>
      </c>
      <c r="AN189">
        <v>31.1</v>
      </c>
      <c r="AO189">
        <v>40.35</v>
      </c>
      <c r="AP189">
        <v>47.2</v>
      </c>
      <c r="AQ189">
        <v>46.15</v>
      </c>
      <c r="AR189">
        <v>169</v>
      </c>
      <c r="AS189" t="s">
        <v>46</v>
      </c>
      <c r="AT189" t="s">
        <v>315</v>
      </c>
      <c r="AU189" t="s">
        <v>322</v>
      </c>
      <c r="AV189" t="s">
        <v>52</v>
      </c>
      <c r="AW189" t="s">
        <v>326</v>
      </c>
      <c r="AX189" t="s">
        <v>318</v>
      </c>
      <c r="AY189">
        <v>2E-3</v>
      </c>
      <c r="AZ189">
        <v>10.827999999999999</v>
      </c>
      <c r="BA189">
        <v>3.5619999999999999E-2</v>
      </c>
      <c r="BB189">
        <v>0.97196000000000005</v>
      </c>
      <c r="BC189">
        <v>0.12</v>
      </c>
      <c r="BD189">
        <v>0.470893465218096</v>
      </c>
      <c r="BE189" t="s">
        <v>319</v>
      </c>
      <c r="BF189" t="s">
        <v>320</v>
      </c>
    </row>
    <row r="190" spans="1:58" customFormat="1" x14ac:dyDescent="0.35">
      <c r="A190">
        <v>10</v>
      </c>
      <c r="B190">
        <v>10</v>
      </c>
      <c r="C190">
        <v>10</v>
      </c>
      <c r="D190">
        <v>10</v>
      </c>
      <c r="E190">
        <v>10</v>
      </c>
      <c r="F190">
        <v>10</v>
      </c>
      <c r="G190">
        <v>12</v>
      </c>
      <c r="H190">
        <v>10</v>
      </c>
      <c r="I190">
        <v>12</v>
      </c>
      <c r="J190">
        <v>11</v>
      </c>
      <c r="K190">
        <v>10</v>
      </c>
      <c r="L190">
        <v>11</v>
      </c>
      <c r="M190">
        <v>11</v>
      </c>
      <c r="N190">
        <v>11</v>
      </c>
      <c r="O190">
        <v>10</v>
      </c>
      <c r="P190">
        <v>10</v>
      </c>
      <c r="Q190">
        <v>12</v>
      </c>
      <c r="R190">
        <v>10</v>
      </c>
      <c r="S190">
        <v>10</v>
      </c>
      <c r="T190">
        <v>10</v>
      </c>
      <c r="U190">
        <v>10</v>
      </c>
      <c r="V190">
        <f>MAX(A190:U190)</f>
        <v>12</v>
      </c>
      <c r="W190" s="4" t="s">
        <v>272</v>
      </c>
      <c r="X190">
        <v>3.4763996041476022E-2</v>
      </c>
      <c r="Y190">
        <v>0.54</v>
      </c>
      <c r="Z190">
        <v>30</v>
      </c>
      <c r="AA190">
        <v>90.9</v>
      </c>
      <c r="AB190">
        <v>42</v>
      </c>
      <c r="AC190">
        <v>27.1</v>
      </c>
      <c r="AD190">
        <v>16</v>
      </c>
      <c r="AE190">
        <v>1921</v>
      </c>
      <c r="AF190">
        <v>31.1</v>
      </c>
      <c r="AG190">
        <v>35.6</v>
      </c>
      <c r="AH190">
        <v>23.3</v>
      </c>
      <c r="AI190">
        <v>48.4</v>
      </c>
      <c r="AJ190">
        <v>19.399999999999999</v>
      </c>
      <c r="AK190">
        <v>24.1</v>
      </c>
      <c r="AL190">
        <v>18</v>
      </c>
      <c r="AM190">
        <v>24.4</v>
      </c>
      <c r="AN190">
        <v>29.7</v>
      </c>
      <c r="AO190">
        <v>40.799999999999997</v>
      </c>
      <c r="AP190">
        <v>49.4</v>
      </c>
      <c r="AQ190">
        <v>48.3</v>
      </c>
      <c r="AR190">
        <v>175</v>
      </c>
      <c r="AS190" t="s">
        <v>46</v>
      </c>
      <c r="AT190" t="s">
        <v>315</v>
      </c>
      <c r="AU190" t="s">
        <v>321</v>
      </c>
      <c r="AV190" t="s">
        <v>52</v>
      </c>
      <c r="AW190" t="s">
        <v>317</v>
      </c>
      <c r="AX190" t="s">
        <v>318</v>
      </c>
      <c r="AY190">
        <v>0</v>
      </c>
      <c r="AZ190">
        <v>10.403</v>
      </c>
      <c r="BA190">
        <v>3.5300000000000002E-3</v>
      </c>
      <c r="BB190">
        <v>0.73024999999999995</v>
      </c>
      <c r="BC190">
        <v>0</v>
      </c>
      <c r="BD190">
        <v>-0.21015080265931499</v>
      </c>
      <c r="BE190" t="s">
        <v>328</v>
      </c>
      <c r="BF190" t="s">
        <v>320</v>
      </c>
    </row>
    <row r="191" spans="1:58" customFormat="1" x14ac:dyDescent="0.35">
      <c r="A191">
        <v>10</v>
      </c>
      <c r="B191">
        <v>10</v>
      </c>
      <c r="C191">
        <v>19</v>
      </c>
      <c r="D191">
        <v>24</v>
      </c>
      <c r="E191">
        <v>37</v>
      </c>
      <c r="F191">
        <v>46</v>
      </c>
      <c r="G191">
        <v>47</v>
      </c>
      <c r="H191">
        <v>10</v>
      </c>
      <c r="I191">
        <v>17</v>
      </c>
      <c r="J191">
        <v>24</v>
      </c>
      <c r="K191">
        <v>34</v>
      </c>
      <c r="L191">
        <v>43</v>
      </c>
      <c r="M191">
        <v>44</v>
      </c>
      <c r="N191">
        <v>45</v>
      </c>
      <c r="O191">
        <v>14</v>
      </c>
      <c r="P191">
        <v>36</v>
      </c>
      <c r="Q191">
        <v>48</v>
      </c>
      <c r="R191">
        <v>50</v>
      </c>
      <c r="S191">
        <v>53</v>
      </c>
      <c r="T191">
        <v>56</v>
      </c>
      <c r="U191">
        <v>56</v>
      </c>
      <c r="V191">
        <f>MAX(A191:U191)</f>
        <v>56</v>
      </c>
      <c r="W191" s="4" t="s">
        <v>273</v>
      </c>
      <c r="X191">
        <v>2.2392678334068981E-6</v>
      </c>
      <c r="Y191">
        <v>249.86</v>
      </c>
      <c r="Z191">
        <v>25</v>
      </c>
      <c r="AA191">
        <v>79</v>
      </c>
      <c r="AB191">
        <v>66</v>
      </c>
      <c r="AC191">
        <v>30.1</v>
      </c>
      <c r="AD191">
        <v>13</v>
      </c>
      <c r="AE191">
        <v>1700</v>
      </c>
      <c r="AF191">
        <v>28.2</v>
      </c>
      <c r="AG191">
        <v>34.200000000000003</v>
      </c>
      <c r="AH191">
        <v>20.3</v>
      </c>
      <c r="AI191">
        <v>45.6</v>
      </c>
      <c r="AJ191">
        <v>20.5</v>
      </c>
      <c r="AK191">
        <v>26.9</v>
      </c>
      <c r="AL191">
        <v>18.399999999999999</v>
      </c>
      <c r="AM191">
        <v>27.5</v>
      </c>
      <c r="AN191">
        <v>24.9</v>
      </c>
      <c r="AO191">
        <v>41.75</v>
      </c>
      <c r="AP191">
        <v>49.9</v>
      </c>
      <c r="AQ191">
        <v>50.35</v>
      </c>
      <c r="AR191">
        <v>178</v>
      </c>
      <c r="AS191" t="s">
        <v>46</v>
      </c>
      <c r="AT191" t="s">
        <v>315</v>
      </c>
      <c r="AU191" t="s">
        <v>321</v>
      </c>
      <c r="AV191" t="s">
        <v>47</v>
      </c>
      <c r="AW191" t="s">
        <v>326</v>
      </c>
      <c r="AX191" t="s">
        <v>318</v>
      </c>
      <c r="AY191">
        <v>0.10299999999999999</v>
      </c>
      <c r="AZ191">
        <v>15.368</v>
      </c>
      <c r="BA191">
        <v>0.51053000000000004</v>
      </c>
      <c r="BB191">
        <v>11.05898</v>
      </c>
      <c r="BC191">
        <v>6.18</v>
      </c>
      <c r="BD191">
        <v>10.102805253770001</v>
      </c>
      <c r="BE191" t="s">
        <v>319</v>
      </c>
      <c r="BF191" t="s">
        <v>324</v>
      </c>
    </row>
    <row r="192" spans="1:58" customFormat="1" x14ac:dyDescent="0.35">
      <c r="A192">
        <v>10</v>
      </c>
      <c r="B192">
        <v>12</v>
      </c>
      <c r="C192">
        <v>13</v>
      </c>
      <c r="D192">
        <v>13</v>
      </c>
      <c r="E192">
        <v>19</v>
      </c>
      <c r="F192">
        <v>27</v>
      </c>
      <c r="G192">
        <v>31</v>
      </c>
      <c r="H192">
        <v>17</v>
      </c>
      <c r="I192">
        <v>23</v>
      </c>
      <c r="J192">
        <v>23</v>
      </c>
      <c r="K192">
        <v>27</v>
      </c>
      <c r="L192">
        <v>29</v>
      </c>
      <c r="M192">
        <v>29</v>
      </c>
      <c r="N192">
        <v>29</v>
      </c>
      <c r="O192">
        <v>17</v>
      </c>
      <c r="P192">
        <v>23</v>
      </c>
      <c r="Q192">
        <v>25</v>
      </c>
      <c r="R192">
        <v>27</v>
      </c>
      <c r="S192">
        <v>33</v>
      </c>
      <c r="T192">
        <v>33</v>
      </c>
      <c r="U192">
        <v>33</v>
      </c>
      <c r="V192">
        <f>MAX(A192:U192)</f>
        <v>33</v>
      </c>
      <c r="W192" s="4" t="s">
        <v>274</v>
      </c>
      <c r="X192">
        <v>3.6176914031809109E-7</v>
      </c>
      <c r="Y192">
        <v>52.25</v>
      </c>
      <c r="Z192">
        <v>31</v>
      </c>
      <c r="AA192">
        <v>71.099999999999994</v>
      </c>
      <c r="AB192">
        <v>47</v>
      </c>
      <c r="AC192">
        <v>22.4</v>
      </c>
      <c r="AD192">
        <v>7</v>
      </c>
      <c r="AE192">
        <v>1625</v>
      </c>
      <c r="AF192">
        <v>32.5</v>
      </c>
      <c r="AG192">
        <v>37.799999999999997</v>
      </c>
      <c r="AH192">
        <v>25.7</v>
      </c>
      <c r="AI192">
        <v>49.8</v>
      </c>
      <c r="AJ192">
        <v>15.2</v>
      </c>
      <c r="AK192">
        <v>20.9</v>
      </c>
      <c r="AL192">
        <v>13.3</v>
      </c>
      <c r="AM192">
        <v>20.8</v>
      </c>
      <c r="AN192">
        <v>21.9</v>
      </c>
      <c r="AO192">
        <v>38.200000000000003</v>
      </c>
      <c r="AP192">
        <v>49.35</v>
      </c>
      <c r="AQ192">
        <v>47.95</v>
      </c>
      <c r="AR192">
        <v>180</v>
      </c>
      <c r="AS192" t="s">
        <v>46</v>
      </c>
      <c r="AT192" t="s">
        <v>315</v>
      </c>
      <c r="AU192" t="s">
        <v>321</v>
      </c>
      <c r="AV192" t="s">
        <v>47</v>
      </c>
      <c r="AW192" t="s">
        <v>317</v>
      </c>
      <c r="AX192" t="s">
        <v>318</v>
      </c>
      <c r="AY192">
        <v>5.0999999999999997E-2</v>
      </c>
      <c r="AZ192">
        <v>14.07</v>
      </c>
      <c r="BA192">
        <v>0.59450000000000003</v>
      </c>
      <c r="BB192">
        <v>4.60297</v>
      </c>
      <c r="BC192">
        <v>3.0599999999999898</v>
      </c>
      <c r="BD192">
        <v>2.7047186638560001</v>
      </c>
      <c r="BE192" t="s">
        <v>319</v>
      </c>
      <c r="BF192" t="s">
        <v>320</v>
      </c>
    </row>
    <row r="193" spans="1:58" customFormat="1" x14ac:dyDescent="0.35">
      <c r="A193">
        <v>20</v>
      </c>
      <c r="B193">
        <v>25</v>
      </c>
      <c r="C193">
        <v>30</v>
      </c>
      <c r="D193">
        <v>28</v>
      </c>
      <c r="E193">
        <v>28</v>
      </c>
      <c r="F193">
        <v>26</v>
      </c>
      <c r="G193">
        <v>28</v>
      </c>
      <c r="H193">
        <v>12</v>
      </c>
      <c r="I193">
        <v>20</v>
      </c>
      <c r="J193">
        <v>30</v>
      </c>
      <c r="K193">
        <v>28</v>
      </c>
      <c r="L193">
        <v>26</v>
      </c>
      <c r="M193">
        <v>23</v>
      </c>
      <c r="N193">
        <v>24</v>
      </c>
      <c r="O193">
        <v>10</v>
      </c>
      <c r="P193">
        <v>20</v>
      </c>
      <c r="Q193">
        <v>29</v>
      </c>
      <c r="R193">
        <v>27</v>
      </c>
      <c r="S193">
        <v>27</v>
      </c>
      <c r="T193">
        <v>30</v>
      </c>
      <c r="U193">
        <v>29</v>
      </c>
      <c r="V193">
        <f>MAX(A193:U193)</f>
        <v>30</v>
      </c>
      <c r="W193" s="4" t="s">
        <v>275</v>
      </c>
      <c r="X193" s="13">
        <v>0.90161746224292605</v>
      </c>
      <c r="Y193">
        <v>29.8</v>
      </c>
      <c r="Z193">
        <v>32</v>
      </c>
      <c r="AA193">
        <v>71.7</v>
      </c>
      <c r="AB193">
        <v>43</v>
      </c>
      <c r="AC193">
        <v>23.8</v>
      </c>
      <c r="AD193">
        <v>8</v>
      </c>
      <c r="AE193">
        <v>1627</v>
      </c>
      <c r="AF193">
        <v>31.9</v>
      </c>
      <c r="AG193">
        <v>37.6</v>
      </c>
      <c r="AH193">
        <v>24.9</v>
      </c>
      <c r="AI193">
        <v>49.2</v>
      </c>
      <c r="AJ193">
        <v>16.3</v>
      </c>
      <c r="AK193">
        <v>22.6</v>
      </c>
      <c r="AL193">
        <v>14.4</v>
      </c>
      <c r="AM193">
        <v>22.5</v>
      </c>
      <c r="AN193">
        <v>23.1</v>
      </c>
      <c r="AO193">
        <v>38.700000000000003</v>
      </c>
      <c r="AP193">
        <v>45.1</v>
      </c>
      <c r="AQ193">
        <v>48.5</v>
      </c>
      <c r="AR193">
        <v>176</v>
      </c>
      <c r="AS193" t="s">
        <v>46</v>
      </c>
      <c r="AT193" t="s">
        <v>315</v>
      </c>
      <c r="AU193" t="s">
        <v>325</v>
      </c>
      <c r="AV193" t="s">
        <v>47</v>
      </c>
      <c r="AW193" t="s">
        <v>317</v>
      </c>
      <c r="AX193" t="s">
        <v>318</v>
      </c>
      <c r="AY193">
        <v>4.0000000000000001E-3</v>
      </c>
      <c r="AZ193">
        <v>23.943999999999999</v>
      </c>
      <c r="BA193">
        <v>7.8700000000000003E-3</v>
      </c>
      <c r="BB193">
        <v>5.4374500000000001</v>
      </c>
      <c r="BC193">
        <v>0.24</v>
      </c>
      <c r="BD193">
        <v>2.1968542240959898</v>
      </c>
      <c r="BE193" t="s">
        <v>319</v>
      </c>
      <c r="BF193" t="s">
        <v>320</v>
      </c>
    </row>
    <row r="194" spans="1:58" customFormat="1" x14ac:dyDescent="0.35">
      <c r="A194">
        <v>12</v>
      </c>
      <c r="B194">
        <v>12</v>
      </c>
      <c r="C194">
        <v>14</v>
      </c>
      <c r="D194">
        <v>16</v>
      </c>
      <c r="E194">
        <v>16</v>
      </c>
      <c r="F194">
        <v>28</v>
      </c>
      <c r="G194">
        <v>25</v>
      </c>
      <c r="H194">
        <v>17</v>
      </c>
      <c r="I194">
        <v>14</v>
      </c>
      <c r="J194">
        <v>18</v>
      </c>
      <c r="K194">
        <v>19</v>
      </c>
      <c r="L194">
        <v>19</v>
      </c>
      <c r="M194">
        <v>19</v>
      </c>
      <c r="N194">
        <v>18</v>
      </c>
      <c r="O194">
        <v>14</v>
      </c>
      <c r="P194">
        <v>19</v>
      </c>
      <c r="Q194">
        <v>21</v>
      </c>
      <c r="R194">
        <v>19</v>
      </c>
      <c r="S194">
        <v>27</v>
      </c>
      <c r="T194">
        <v>28</v>
      </c>
      <c r="U194">
        <v>29</v>
      </c>
      <c r="V194">
        <f>MAX(A194:U194)</f>
        <v>29</v>
      </c>
      <c r="W194" s="4" t="s">
        <v>276</v>
      </c>
      <c r="X194">
        <v>1.6681498541716539E-4</v>
      </c>
      <c r="Y194">
        <v>26.75</v>
      </c>
      <c r="Z194">
        <v>20</v>
      </c>
      <c r="AA194">
        <v>54.4</v>
      </c>
      <c r="AB194">
        <v>61</v>
      </c>
      <c r="AC194">
        <v>21.2</v>
      </c>
      <c r="AD194">
        <v>7.5</v>
      </c>
      <c r="AE194">
        <v>1339</v>
      </c>
      <c r="AF194">
        <v>29.2</v>
      </c>
      <c r="AG194">
        <v>36.200000000000003</v>
      </c>
      <c r="AH194">
        <v>23.6</v>
      </c>
      <c r="AI194">
        <v>46.6</v>
      </c>
      <c r="AJ194">
        <v>14.4</v>
      </c>
      <c r="AK194">
        <v>18.8</v>
      </c>
      <c r="AL194">
        <v>12.5</v>
      </c>
      <c r="AM194">
        <v>18.600000000000001</v>
      </c>
      <c r="AN194">
        <v>21.3</v>
      </c>
      <c r="AO194">
        <v>34</v>
      </c>
      <c r="AP194">
        <v>45.9</v>
      </c>
      <c r="AQ194">
        <v>41.95</v>
      </c>
      <c r="AR194">
        <v>160</v>
      </c>
      <c r="AS194" t="s">
        <v>46</v>
      </c>
      <c r="AT194" t="s">
        <v>315</v>
      </c>
      <c r="AU194" t="s">
        <v>322</v>
      </c>
      <c r="AV194" t="s">
        <v>47</v>
      </c>
      <c r="AW194" t="s">
        <v>326</v>
      </c>
      <c r="AX194" t="s">
        <v>323</v>
      </c>
      <c r="AY194">
        <v>2.9000000000000001E-2</v>
      </c>
      <c r="AZ194">
        <v>13.835000000000001</v>
      </c>
      <c r="BA194">
        <v>0.38313000000000003</v>
      </c>
      <c r="BB194">
        <v>4.0624000000000002</v>
      </c>
      <c r="BC194">
        <v>1.74</v>
      </c>
      <c r="BD194">
        <v>2.8973568996270398</v>
      </c>
      <c r="BE194" t="s">
        <v>319</v>
      </c>
      <c r="BF194" t="s">
        <v>320</v>
      </c>
    </row>
    <row r="195" spans="1:58" customFormat="1" x14ac:dyDescent="0.35">
      <c r="A195">
        <v>24</v>
      </c>
      <c r="B195">
        <v>16</v>
      </c>
      <c r="C195">
        <v>23</v>
      </c>
      <c r="D195">
        <v>18</v>
      </c>
      <c r="E195">
        <v>19</v>
      </c>
      <c r="F195">
        <v>20</v>
      </c>
      <c r="G195">
        <v>23</v>
      </c>
      <c r="H195">
        <v>13</v>
      </c>
      <c r="I195">
        <v>25</v>
      </c>
      <c r="J195">
        <v>26</v>
      </c>
      <c r="K195">
        <v>24</v>
      </c>
      <c r="L195">
        <v>26</v>
      </c>
      <c r="M195">
        <v>32</v>
      </c>
      <c r="N195">
        <v>30</v>
      </c>
      <c r="O195">
        <v>26</v>
      </c>
      <c r="P195">
        <v>32</v>
      </c>
      <c r="Q195">
        <v>32</v>
      </c>
      <c r="R195">
        <v>30</v>
      </c>
      <c r="S195">
        <v>31</v>
      </c>
      <c r="T195">
        <v>37</v>
      </c>
      <c r="U195">
        <v>39</v>
      </c>
      <c r="V195">
        <f>MAX(A195:U195)</f>
        <v>39</v>
      </c>
      <c r="W195" s="4" t="s">
        <v>277</v>
      </c>
      <c r="X195">
        <v>4.6694164789426257E-2</v>
      </c>
      <c r="Y195">
        <v>42.86</v>
      </c>
      <c r="Z195">
        <v>32</v>
      </c>
      <c r="AA195">
        <v>77</v>
      </c>
      <c r="AB195">
        <v>41</v>
      </c>
      <c r="AC195">
        <v>26</v>
      </c>
      <c r="AD195">
        <v>12</v>
      </c>
      <c r="AE195">
        <v>1698</v>
      </c>
      <c r="AF195">
        <v>30.6</v>
      </c>
      <c r="AG195">
        <v>36.299999999999997</v>
      </c>
      <c r="AH195">
        <v>23.3</v>
      </c>
      <c r="AI195">
        <v>48</v>
      </c>
      <c r="AJ195">
        <v>18.2</v>
      </c>
      <c r="AK195">
        <v>24.5</v>
      </c>
      <c r="AL195">
        <v>16.5</v>
      </c>
      <c r="AM195">
        <v>24.6</v>
      </c>
      <c r="AN195">
        <v>26.3</v>
      </c>
      <c r="AO195">
        <v>39.25</v>
      </c>
      <c r="AP195">
        <v>49.25</v>
      </c>
      <c r="AQ195">
        <v>49.25</v>
      </c>
      <c r="AR195">
        <v>171</v>
      </c>
      <c r="AS195" t="s">
        <v>46</v>
      </c>
      <c r="AT195" t="s">
        <v>330</v>
      </c>
      <c r="AU195" t="s">
        <v>321</v>
      </c>
      <c r="AV195" t="s">
        <v>52</v>
      </c>
      <c r="AW195" t="s">
        <v>317</v>
      </c>
      <c r="AX195" t="s">
        <v>318</v>
      </c>
      <c r="AY195">
        <v>5.0999999999999997E-2</v>
      </c>
      <c r="AZ195">
        <v>16.631</v>
      </c>
      <c r="BA195">
        <v>0.71914</v>
      </c>
      <c r="BB195">
        <v>3.4693900000000002</v>
      </c>
      <c r="BC195">
        <v>3.0599999999999898</v>
      </c>
      <c r="BD195" s="7">
        <v>4.2399870277282297</v>
      </c>
      <c r="BE195" t="s">
        <v>319</v>
      </c>
      <c r="BF195" t="s">
        <v>320</v>
      </c>
    </row>
    <row r="196" spans="1:58" customFormat="1" x14ac:dyDescent="0.35">
      <c r="A196">
        <v>10</v>
      </c>
      <c r="B196">
        <v>10</v>
      </c>
      <c r="C196">
        <v>10</v>
      </c>
      <c r="D196">
        <v>11</v>
      </c>
      <c r="E196">
        <v>14</v>
      </c>
      <c r="F196">
        <v>16</v>
      </c>
      <c r="G196">
        <v>16</v>
      </c>
      <c r="H196">
        <v>10</v>
      </c>
      <c r="I196">
        <v>10</v>
      </c>
      <c r="J196">
        <v>14</v>
      </c>
      <c r="K196">
        <v>16</v>
      </c>
      <c r="L196">
        <v>22</v>
      </c>
      <c r="M196">
        <v>22</v>
      </c>
      <c r="N196">
        <v>24</v>
      </c>
      <c r="O196">
        <v>10</v>
      </c>
      <c r="P196">
        <v>10</v>
      </c>
      <c r="Q196">
        <v>25</v>
      </c>
      <c r="R196">
        <v>24</v>
      </c>
      <c r="S196">
        <v>24</v>
      </c>
      <c r="T196">
        <v>32</v>
      </c>
      <c r="U196">
        <v>38</v>
      </c>
      <c r="V196">
        <f>MAX(A196:U196)</f>
        <v>38</v>
      </c>
      <c r="W196" s="4" t="s">
        <v>278</v>
      </c>
      <c r="X196" s="13">
        <v>9.3393352151488016E-2</v>
      </c>
      <c r="Y196">
        <v>62.92</v>
      </c>
      <c r="Z196">
        <v>32</v>
      </c>
      <c r="AA196">
        <v>74.099999999999994</v>
      </c>
      <c r="AB196">
        <v>40</v>
      </c>
      <c r="AC196">
        <v>28.2</v>
      </c>
      <c r="AD196">
        <v>12</v>
      </c>
      <c r="AE196">
        <v>1638</v>
      </c>
      <c r="AF196">
        <v>29.5</v>
      </c>
      <c r="AG196">
        <v>35.9</v>
      </c>
      <c r="AH196">
        <v>21.9</v>
      </c>
      <c r="AI196">
        <v>46.9</v>
      </c>
      <c r="AJ196">
        <v>19.5</v>
      </c>
      <c r="AK196">
        <v>27.1</v>
      </c>
      <c r="AL196">
        <v>17.600000000000001</v>
      </c>
      <c r="AM196">
        <v>27.4</v>
      </c>
      <c r="AN196">
        <v>26.3</v>
      </c>
      <c r="AO196">
        <v>37.700000000000003</v>
      </c>
      <c r="AP196">
        <v>46.65</v>
      </c>
      <c r="AQ196">
        <v>48.35</v>
      </c>
      <c r="AR196">
        <v>168</v>
      </c>
      <c r="AS196" t="s">
        <v>46</v>
      </c>
      <c r="AT196" t="s">
        <v>315</v>
      </c>
      <c r="AU196" t="s">
        <v>322</v>
      </c>
      <c r="AV196" t="s">
        <v>52</v>
      </c>
      <c r="AW196" t="s">
        <v>317</v>
      </c>
      <c r="AX196" t="s">
        <v>318</v>
      </c>
      <c r="AY196">
        <v>5.6000000000000001E-2</v>
      </c>
      <c r="AZ196">
        <v>7.1139999999999999</v>
      </c>
      <c r="BA196">
        <v>0.60477000000000003</v>
      </c>
      <c r="BB196">
        <v>4.9866000000000001</v>
      </c>
      <c r="BC196">
        <v>3.36</v>
      </c>
      <c r="BD196" s="7">
        <v>5.3179828117399</v>
      </c>
      <c r="BE196" t="s">
        <v>319</v>
      </c>
      <c r="BF196" t="s">
        <v>324</v>
      </c>
    </row>
    <row r="197" spans="1:58" customFormat="1" x14ac:dyDescent="0.35">
      <c r="A197">
        <v>10</v>
      </c>
      <c r="B197">
        <v>10</v>
      </c>
      <c r="C197">
        <v>10</v>
      </c>
      <c r="D197">
        <v>11</v>
      </c>
      <c r="E197">
        <v>11</v>
      </c>
      <c r="F197">
        <v>12</v>
      </c>
      <c r="G197">
        <v>11</v>
      </c>
      <c r="H197">
        <v>11</v>
      </c>
      <c r="I197">
        <v>11</v>
      </c>
      <c r="J197">
        <v>11</v>
      </c>
      <c r="K197">
        <v>13</v>
      </c>
      <c r="L197">
        <v>14</v>
      </c>
      <c r="M197">
        <v>14</v>
      </c>
      <c r="N197">
        <v>14</v>
      </c>
      <c r="O197">
        <v>15</v>
      </c>
      <c r="P197">
        <v>15</v>
      </c>
      <c r="Q197">
        <v>15</v>
      </c>
      <c r="R197">
        <v>17</v>
      </c>
      <c r="S197">
        <v>17</v>
      </c>
      <c r="T197">
        <v>18</v>
      </c>
      <c r="U197">
        <v>17</v>
      </c>
      <c r="V197">
        <f>MAX(A197:U197)</f>
        <v>18</v>
      </c>
      <c r="W197" s="4" t="s">
        <v>279</v>
      </c>
      <c r="X197">
        <v>1.133897297656063E-4</v>
      </c>
      <c r="Y197">
        <v>6.63</v>
      </c>
      <c r="Z197">
        <v>19</v>
      </c>
      <c r="AA197">
        <v>51.4</v>
      </c>
      <c r="AB197">
        <v>50</v>
      </c>
      <c r="AC197">
        <v>27.1</v>
      </c>
      <c r="AD197">
        <v>6.5</v>
      </c>
      <c r="AE197">
        <v>1274</v>
      </c>
      <c r="AF197">
        <v>28.1</v>
      </c>
      <c r="AG197">
        <v>36</v>
      </c>
      <c r="AH197">
        <v>21.1</v>
      </c>
      <c r="AI197">
        <v>45.5</v>
      </c>
      <c r="AJ197">
        <v>18</v>
      </c>
      <c r="AK197">
        <v>24.5</v>
      </c>
      <c r="AL197">
        <v>15.7</v>
      </c>
      <c r="AM197">
        <v>24.8</v>
      </c>
      <c r="AN197">
        <v>20.9</v>
      </c>
      <c r="AO197">
        <v>34.200000000000003</v>
      </c>
      <c r="AP197">
        <v>42.85</v>
      </c>
      <c r="AQ197">
        <v>42.95</v>
      </c>
      <c r="AR197">
        <v>157</v>
      </c>
      <c r="AS197" t="s">
        <v>46</v>
      </c>
      <c r="AT197" t="s">
        <v>315</v>
      </c>
      <c r="AU197" t="s">
        <v>316</v>
      </c>
      <c r="AV197" t="s">
        <v>47</v>
      </c>
      <c r="AW197" t="s">
        <v>317</v>
      </c>
      <c r="AX197" t="s">
        <v>323</v>
      </c>
      <c r="AY197">
        <v>2.1999999999999999E-2</v>
      </c>
      <c r="AZ197">
        <v>9.0299999999999994</v>
      </c>
      <c r="BA197">
        <v>0.91657999999999995</v>
      </c>
      <c r="BB197">
        <v>0.74370999999999998</v>
      </c>
      <c r="BC197">
        <v>1.3199999999999901</v>
      </c>
      <c r="BD197">
        <v>1.76293173341981</v>
      </c>
      <c r="BE197" t="s">
        <v>319</v>
      </c>
      <c r="BF197" t="s">
        <v>320</v>
      </c>
    </row>
    <row r="198" spans="1:58" customFormat="1" x14ac:dyDescent="0.35">
      <c r="A198">
        <v>10</v>
      </c>
      <c r="B198">
        <v>11</v>
      </c>
      <c r="C198">
        <v>15</v>
      </c>
      <c r="D198">
        <v>15</v>
      </c>
      <c r="E198">
        <v>16</v>
      </c>
      <c r="F198">
        <v>18</v>
      </c>
      <c r="G198">
        <v>22</v>
      </c>
      <c r="H198">
        <v>12</v>
      </c>
      <c r="I198">
        <v>20</v>
      </c>
      <c r="J198">
        <v>22</v>
      </c>
      <c r="K198">
        <v>23</v>
      </c>
      <c r="L198">
        <v>22</v>
      </c>
      <c r="M198">
        <v>23</v>
      </c>
      <c r="N198">
        <v>24</v>
      </c>
      <c r="O198">
        <v>17</v>
      </c>
      <c r="P198">
        <v>26</v>
      </c>
      <c r="Q198">
        <v>24</v>
      </c>
      <c r="R198">
        <v>26</v>
      </c>
      <c r="S198">
        <v>27</v>
      </c>
      <c r="T198">
        <v>27</v>
      </c>
      <c r="U198">
        <v>27</v>
      </c>
      <c r="V198">
        <f>MAX(A198:U198)</f>
        <v>27</v>
      </c>
      <c r="W198" s="4" t="s">
        <v>280</v>
      </c>
      <c r="X198">
        <v>3.4664026818232259E-9</v>
      </c>
      <c r="Y198">
        <v>28.7</v>
      </c>
      <c r="Z198">
        <v>22</v>
      </c>
      <c r="AA198">
        <v>70.900000000000006</v>
      </c>
      <c r="AB198">
        <v>60</v>
      </c>
      <c r="AC198">
        <v>24.5</v>
      </c>
      <c r="AD198">
        <v>10</v>
      </c>
      <c r="AE198">
        <v>1602</v>
      </c>
      <c r="AF198">
        <v>30.3</v>
      </c>
      <c r="AG198">
        <v>36.4</v>
      </c>
      <c r="AH198">
        <v>23.5</v>
      </c>
      <c r="AI198">
        <v>47.6</v>
      </c>
      <c r="AJ198">
        <v>16.8</v>
      </c>
      <c r="AK198">
        <v>21.6</v>
      </c>
      <c r="AL198">
        <v>15</v>
      </c>
      <c r="AM198">
        <v>21.8</v>
      </c>
      <c r="AN198">
        <v>23.7</v>
      </c>
      <c r="AO198">
        <v>40.35</v>
      </c>
      <c r="AP198">
        <v>46.25</v>
      </c>
      <c r="AQ198">
        <v>48.5</v>
      </c>
      <c r="AR198">
        <v>173</v>
      </c>
      <c r="AS198" t="s">
        <v>46</v>
      </c>
      <c r="AT198" t="s">
        <v>315</v>
      </c>
      <c r="AU198" t="s">
        <v>322</v>
      </c>
      <c r="AV198" t="s">
        <v>47</v>
      </c>
      <c r="AW198" t="s">
        <v>326</v>
      </c>
      <c r="AX198" t="s">
        <v>318</v>
      </c>
      <c r="AY198">
        <v>4.2999999999999997E-2</v>
      </c>
      <c r="AZ198">
        <v>12.317</v>
      </c>
      <c r="BA198">
        <v>0.78624000000000005</v>
      </c>
      <c r="BB198">
        <v>2.4767899999999998</v>
      </c>
      <c r="BC198">
        <v>2.5799999999999899</v>
      </c>
      <c r="BD198">
        <v>2.5607264472190598</v>
      </c>
      <c r="BE198" t="s">
        <v>319</v>
      </c>
      <c r="BF198" t="s">
        <v>320</v>
      </c>
    </row>
    <row r="199" spans="1:58" customFormat="1" x14ac:dyDescent="0.35">
      <c r="A199">
        <v>10</v>
      </c>
      <c r="B199">
        <v>11</v>
      </c>
      <c r="C199">
        <v>12</v>
      </c>
      <c r="D199">
        <v>16</v>
      </c>
      <c r="E199">
        <v>24</v>
      </c>
      <c r="F199">
        <v>36</v>
      </c>
      <c r="G199">
        <v>39</v>
      </c>
      <c r="H199">
        <v>16</v>
      </c>
      <c r="I199">
        <v>20</v>
      </c>
      <c r="J199">
        <v>22</v>
      </c>
      <c r="K199">
        <v>28</v>
      </c>
      <c r="L199">
        <v>30</v>
      </c>
      <c r="M199">
        <v>32</v>
      </c>
      <c r="N199">
        <v>32</v>
      </c>
      <c r="O199">
        <v>16</v>
      </c>
      <c r="P199">
        <v>27</v>
      </c>
      <c r="Q199">
        <v>29</v>
      </c>
      <c r="R199">
        <v>33</v>
      </c>
      <c r="S199">
        <v>37</v>
      </c>
      <c r="T199">
        <v>34</v>
      </c>
      <c r="U199">
        <v>33</v>
      </c>
      <c r="V199">
        <f>MAX(A199:U199)</f>
        <v>39</v>
      </c>
      <c r="W199" s="4" t="s">
        <v>281</v>
      </c>
      <c r="X199">
        <v>1.5693956173508191E-4</v>
      </c>
      <c r="Y199">
        <v>80.150000000000006</v>
      </c>
      <c r="Z199" t="s">
        <v>220</v>
      </c>
      <c r="AA199">
        <v>75.7</v>
      </c>
      <c r="AB199">
        <v>46</v>
      </c>
      <c r="AC199">
        <v>22.5</v>
      </c>
      <c r="AD199">
        <v>9</v>
      </c>
      <c r="AE199">
        <v>1700</v>
      </c>
      <c r="AF199">
        <v>32.5</v>
      </c>
      <c r="AG199">
        <v>37.1</v>
      </c>
      <c r="AH199">
        <v>25.7</v>
      </c>
      <c r="AI199">
        <v>49.8</v>
      </c>
      <c r="AJ199">
        <v>15.6</v>
      </c>
      <c r="AK199">
        <v>20.7</v>
      </c>
      <c r="AL199">
        <v>13.9</v>
      </c>
      <c r="AM199">
        <v>20.5</v>
      </c>
      <c r="AN199">
        <v>23.9</v>
      </c>
      <c r="AO199">
        <v>40.6</v>
      </c>
      <c r="AP199">
        <v>49.3</v>
      </c>
      <c r="AQ199">
        <v>47.45</v>
      </c>
      <c r="AR199">
        <v>178</v>
      </c>
      <c r="AS199" t="s">
        <v>46</v>
      </c>
      <c r="AT199" t="s">
        <v>315</v>
      </c>
      <c r="AU199" t="s">
        <v>322</v>
      </c>
      <c r="AV199" t="s">
        <v>47</v>
      </c>
      <c r="AW199" t="s">
        <v>317</v>
      </c>
      <c r="AX199" t="s">
        <v>318</v>
      </c>
      <c r="AY199">
        <v>5.3999999999999999E-2</v>
      </c>
      <c r="AZ199">
        <v>15.553000000000001</v>
      </c>
      <c r="BA199">
        <v>0.43963999999999998</v>
      </c>
      <c r="BB199">
        <v>6.7016999999999998</v>
      </c>
      <c r="BC199">
        <v>3.23999999999999</v>
      </c>
      <c r="BD199">
        <v>3.7924436516945002</v>
      </c>
      <c r="BE199" t="s">
        <v>319</v>
      </c>
      <c r="BF199" t="s">
        <v>324</v>
      </c>
    </row>
    <row r="200" spans="1:58" customFormat="1" x14ac:dyDescent="0.35">
      <c r="A200">
        <v>32</v>
      </c>
      <c r="B200">
        <v>33</v>
      </c>
      <c r="C200">
        <v>21</v>
      </c>
      <c r="D200">
        <v>21</v>
      </c>
      <c r="E200">
        <v>21</v>
      </c>
      <c r="F200">
        <v>23</v>
      </c>
      <c r="G200">
        <v>23</v>
      </c>
      <c r="H200">
        <v>20</v>
      </c>
      <c r="I200">
        <v>21</v>
      </c>
      <c r="J200">
        <v>20</v>
      </c>
      <c r="K200">
        <v>25</v>
      </c>
      <c r="L200">
        <v>22</v>
      </c>
      <c r="M200">
        <v>22</v>
      </c>
      <c r="N200">
        <v>22</v>
      </c>
      <c r="O200">
        <v>20</v>
      </c>
      <c r="P200">
        <v>22</v>
      </c>
      <c r="Q200">
        <v>26</v>
      </c>
      <c r="R200">
        <v>26</v>
      </c>
      <c r="S200">
        <v>29</v>
      </c>
      <c r="T200">
        <v>25</v>
      </c>
      <c r="U200">
        <v>25</v>
      </c>
      <c r="V200">
        <f>MAX(A200:U200)</f>
        <v>33</v>
      </c>
      <c r="W200" s="4" t="s">
        <v>282</v>
      </c>
      <c r="X200">
        <v>0.68926611743657251</v>
      </c>
      <c r="Y200">
        <v>13.42</v>
      </c>
      <c r="Z200">
        <v>18</v>
      </c>
      <c r="AA200">
        <v>67.5</v>
      </c>
      <c r="AB200">
        <v>48</v>
      </c>
      <c r="AC200">
        <v>32.200000000000003</v>
      </c>
      <c r="AD200">
        <v>7.5</v>
      </c>
      <c r="AE200">
        <v>1383</v>
      </c>
      <c r="AF200">
        <v>25.8</v>
      </c>
      <c r="AG200">
        <v>25.9</v>
      </c>
      <c r="AH200">
        <v>19</v>
      </c>
      <c r="AI200">
        <v>39.5</v>
      </c>
      <c r="AJ200">
        <v>29.1</v>
      </c>
      <c r="AK200">
        <v>42.5</v>
      </c>
      <c r="AL200">
        <v>24.9</v>
      </c>
      <c r="AM200">
        <v>37.5</v>
      </c>
      <c r="AN200">
        <v>25.7</v>
      </c>
      <c r="AO200">
        <v>40.700000000000003</v>
      </c>
      <c r="AP200">
        <v>47.25</v>
      </c>
      <c r="AQ200">
        <v>42</v>
      </c>
      <c r="AR200">
        <v>162</v>
      </c>
      <c r="AS200" t="s">
        <v>49</v>
      </c>
      <c r="AT200" t="s">
        <v>315</v>
      </c>
      <c r="AU200" t="s">
        <v>322</v>
      </c>
      <c r="AV200" t="s">
        <v>52</v>
      </c>
      <c r="AW200" t="s">
        <v>317</v>
      </c>
      <c r="AX200" t="s">
        <v>323</v>
      </c>
      <c r="AY200">
        <v>-2E-3</v>
      </c>
      <c r="AZ200">
        <v>24.044</v>
      </c>
      <c r="BA200">
        <v>2.0799999999999998E-3</v>
      </c>
      <c r="BB200">
        <v>3.65944</v>
      </c>
      <c r="BC200">
        <v>-0.12</v>
      </c>
      <c r="BD200">
        <v>1.55083508999513</v>
      </c>
      <c r="BE200" t="s">
        <v>329</v>
      </c>
      <c r="BF200" t="s">
        <v>320</v>
      </c>
    </row>
    <row r="201" spans="1:58" customFormat="1" x14ac:dyDescent="0.35">
      <c r="A201">
        <v>10</v>
      </c>
      <c r="B201">
        <v>10</v>
      </c>
      <c r="C201">
        <v>10</v>
      </c>
      <c r="D201">
        <v>14</v>
      </c>
      <c r="E201">
        <v>15</v>
      </c>
      <c r="F201">
        <v>18</v>
      </c>
      <c r="G201">
        <v>17</v>
      </c>
      <c r="H201">
        <v>15</v>
      </c>
      <c r="I201">
        <v>17</v>
      </c>
      <c r="J201">
        <v>24</v>
      </c>
      <c r="K201">
        <v>31</v>
      </c>
      <c r="L201">
        <v>32</v>
      </c>
      <c r="M201">
        <v>35</v>
      </c>
      <c r="N201">
        <v>36</v>
      </c>
      <c r="O201">
        <v>33</v>
      </c>
      <c r="P201">
        <v>37</v>
      </c>
      <c r="Q201">
        <v>37</v>
      </c>
      <c r="R201">
        <v>37</v>
      </c>
      <c r="S201">
        <v>39</v>
      </c>
      <c r="T201">
        <v>44</v>
      </c>
      <c r="U201">
        <v>44</v>
      </c>
      <c r="V201">
        <f>MAX(A201:U201)</f>
        <v>44</v>
      </c>
      <c r="W201" s="4" t="s">
        <v>283</v>
      </c>
      <c r="X201">
        <v>8.7539997847900201E-12</v>
      </c>
      <c r="Y201">
        <v>135.77000000000001</v>
      </c>
      <c r="Z201">
        <v>32</v>
      </c>
      <c r="AA201">
        <v>96.2</v>
      </c>
      <c r="AB201">
        <v>50</v>
      </c>
      <c r="AO201">
        <v>48.3</v>
      </c>
      <c r="AP201">
        <v>52.2</v>
      </c>
      <c r="AQ201">
        <v>41.95</v>
      </c>
      <c r="AR201">
        <v>161</v>
      </c>
      <c r="AS201" t="s">
        <v>49</v>
      </c>
      <c r="AT201" t="s">
        <v>315</v>
      </c>
      <c r="AU201" t="s">
        <v>316</v>
      </c>
      <c r="AV201" t="s">
        <v>52</v>
      </c>
      <c r="AW201" t="s">
        <v>317</v>
      </c>
      <c r="AX201" t="s">
        <v>323</v>
      </c>
      <c r="AY201">
        <v>0.10299999999999999</v>
      </c>
      <c r="AZ201">
        <v>7.3049999999999997</v>
      </c>
      <c r="BA201">
        <v>0.94571000000000005</v>
      </c>
      <c r="BB201">
        <v>2.7148599999999998</v>
      </c>
      <c r="BC201">
        <v>6.18</v>
      </c>
      <c r="BD201">
        <v>6.3687368250364802</v>
      </c>
      <c r="BE201" t="s">
        <v>319</v>
      </c>
      <c r="BF201" t="s">
        <v>324</v>
      </c>
    </row>
    <row r="202" spans="1:58" customFormat="1" x14ac:dyDescent="0.35">
      <c r="A202">
        <v>10</v>
      </c>
      <c r="B202">
        <v>10</v>
      </c>
      <c r="C202">
        <v>12</v>
      </c>
      <c r="D202">
        <v>15</v>
      </c>
      <c r="E202">
        <v>15</v>
      </c>
      <c r="F202">
        <v>19</v>
      </c>
      <c r="G202">
        <v>27</v>
      </c>
      <c r="H202">
        <v>27</v>
      </c>
      <c r="I202">
        <v>28</v>
      </c>
      <c r="J202">
        <v>27</v>
      </c>
      <c r="K202">
        <v>29</v>
      </c>
      <c r="L202">
        <v>31</v>
      </c>
      <c r="M202">
        <v>31</v>
      </c>
      <c r="N202">
        <v>31</v>
      </c>
      <c r="O202">
        <v>31</v>
      </c>
      <c r="P202">
        <v>31</v>
      </c>
      <c r="Q202">
        <v>32</v>
      </c>
      <c r="R202">
        <v>34</v>
      </c>
      <c r="S202">
        <v>34</v>
      </c>
      <c r="T202">
        <v>35</v>
      </c>
      <c r="U202">
        <v>39</v>
      </c>
      <c r="V202">
        <f>MAX(A202:U202)</f>
        <v>39</v>
      </c>
      <c r="W202" s="4" t="s">
        <v>284</v>
      </c>
      <c r="X202">
        <v>9.3268050206633354E-6</v>
      </c>
      <c r="Y202">
        <v>73.989999999999995</v>
      </c>
      <c r="Z202">
        <v>22</v>
      </c>
      <c r="AA202">
        <v>53.7</v>
      </c>
      <c r="AB202">
        <v>65</v>
      </c>
      <c r="AC202">
        <v>22.1</v>
      </c>
      <c r="AD202">
        <v>6</v>
      </c>
      <c r="AE202">
        <v>1324</v>
      </c>
      <c r="AF202">
        <v>28.8</v>
      </c>
      <c r="AG202">
        <v>35.799999999999997</v>
      </c>
      <c r="AH202">
        <v>23.1</v>
      </c>
      <c r="AI202">
        <v>46.3</v>
      </c>
      <c r="AJ202">
        <v>14.8</v>
      </c>
      <c r="AK202">
        <v>19.2</v>
      </c>
      <c r="AL202">
        <v>12.7</v>
      </c>
      <c r="AM202">
        <v>19.2</v>
      </c>
      <c r="AN202">
        <v>20.2</v>
      </c>
      <c r="AO202">
        <v>36.299999999999997</v>
      </c>
      <c r="AP202">
        <v>47.6</v>
      </c>
      <c r="AQ202">
        <v>44.05</v>
      </c>
      <c r="AR202">
        <v>163</v>
      </c>
      <c r="AS202" t="s">
        <v>46</v>
      </c>
      <c r="AT202" t="s">
        <v>315</v>
      </c>
      <c r="AU202" t="s">
        <v>321</v>
      </c>
      <c r="AV202" t="s">
        <v>47</v>
      </c>
      <c r="AW202" t="s">
        <v>326</v>
      </c>
      <c r="AX202" t="s">
        <v>323</v>
      </c>
      <c r="AY202">
        <v>7.3999999999999996E-2</v>
      </c>
      <c r="AZ202">
        <v>12.489000000000001</v>
      </c>
      <c r="BA202">
        <v>0.87853000000000003</v>
      </c>
      <c r="BB202">
        <v>2.9979900000000002</v>
      </c>
      <c r="BC202">
        <v>4.4399999999999897</v>
      </c>
      <c r="BD202">
        <v>2.4284092751743098</v>
      </c>
      <c r="BE202" t="s">
        <v>319</v>
      </c>
      <c r="BF202" t="s">
        <v>324</v>
      </c>
    </row>
    <row r="203" spans="1:58" customFormat="1" x14ac:dyDescent="0.35">
      <c r="A203">
        <v>10</v>
      </c>
      <c r="B203">
        <v>10</v>
      </c>
      <c r="C203">
        <v>10</v>
      </c>
      <c r="D203">
        <v>12</v>
      </c>
      <c r="E203">
        <v>14</v>
      </c>
      <c r="F203">
        <v>14</v>
      </c>
      <c r="G203">
        <v>14</v>
      </c>
      <c r="H203">
        <v>10</v>
      </c>
      <c r="I203">
        <v>10</v>
      </c>
      <c r="J203">
        <v>11</v>
      </c>
      <c r="K203">
        <v>13</v>
      </c>
      <c r="L203">
        <v>15</v>
      </c>
      <c r="M203">
        <v>15</v>
      </c>
      <c r="N203">
        <v>15</v>
      </c>
      <c r="O203">
        <v>10</v>
      </c>
      <c r="P203">
        <v>10</v>
      </c>
      <c r="Q203">
        <v>14</v>
      </c>
      <c r="R203">
        <v>15</v>
      </c>
      <c r="S203">
        <v>15</v>
      </c>
      <c r="T203">
        <v>15</v>
      </c>
      <c r="U203">
        <v>15</v>
      </c>
      <c r="V203">
        <f>MAX(A203:U203)</f>
        <v>15</v>
      </c>
      <c r="W203" s="4" t="s">
        <v>285</v>
      </c>
      <c r="X203">
        <v>6.8648173134462798E-3</v>
      </c>
      <c r="Y203">
        <v>4.68</v>
      </c>
      <c r="Z203" t="s">
        <v>331</v>
      </c>
      <c r="AA203">
        <v>108</v>
      </c>
      <c r="AB203">
        <v>52</v>
      </c>
      <c r="AC203">
        <v>37.299999999999997</v>
      </c>
      <c r="AD203">
        <v>30</v>
      </c>
      <c r="AE203">
        <v>2098</v>
      </c>
      <c r="AF203">
        <v>25.4</v>
      </c>
      <c r="AG203">
        <v>31.3</v>
      </c>
      <c r="AH203">
        <v>16.100000000000001</v>
      </c>
      <c r="AI203">
        <v>42.9</v>
      </c>
      <c r="AJ203">
        <v>27.2</v>
      </c>
      <c r="AK203">
        <v>35</v>
      </c>
      <c r="AL203">
        <v>25.9</v>
      </c>
      <c r="AM203">
        <v>36.1</v>
      </c>
      <c r="AN203">
        <v>38.700000000000003</v>
      </c>
      <c r="AO203">
        <v>45.85</v>
      </c>
      <c r="AP203">
        <v>46.9</v>
      </c>
      <c r="AQ203">
        <v>45.2</v>
      </c>
      <c r="AR203">
        <v>167</v>
      </c>
      <c r="AS203" t="s">
        <v>46</v>
      </c>
      <c r="AT203">
        <v>0</v>
      </c>
      <c r="AU203" t="s">
        <v>325</v>
      </c>
      <c r="AV203" t="s">
        <v>52</v>
      </c>
      <c r="AW203" t="s">
        <v>317</v>
      </c>
      <c r="AX203" t="s">
        <v>318</v>
      </c>
      <c r="AY203">
        <v>1.0999999999999999E-2</v>
      </c>
      <c r="AZ203">
        <v>10.64</v>
      </c>
      <c r="BA203">
        <v>0.32290999999999997</v>
      </c>
      <c r="BB203">
        <v>1.78016</v>
      </c>
      <c r="BC203">
        <v>0.65999999999999903</v>
      </c>
      <c r="BD203">
        <v>1.0994000324306701</v>
      </c>
      <c r="BE203" t="s">
        <v>319</v>
      </c>
      <c r="BF203" t="s">
        <v>320</v>
      </c>
    </row>
    <row r="204" spans="1:58" customFormat="1" x14ac:dyDescent="0.35">
      <c r="A204">
        <v>10</v>
      </c>
      <c r="B204">
        <v>10</v>
      </c>
      <c r="C204">
        <v>10</v>
      </c>
      <c r="D204">
        <v>10</v>
      </c>
      <c r="E204">
        <v>14</v>
      </c>
      <c r="F204">
        <v>20</v>
      </c>
      <c r="G204">
        <v>20</v>
      </c>
      <c r="H204">
        <v>10</v>
      </c>
      <c r="I204">
        <v>10</v>
      </c>
      <c r="J204">
        <v>10</v>
      </c>
      <c r="K204">
        <v>14</v>
      </c>
      <c r="L204">
        <v>17</v>
      </c>
      <c r="M204">
        <v>21</v>
      </c>
      <c r="N204">
        <v>22</v>
      </c>
      <c r="O204">
        <v>16</v>
      </c>
      <c r="P204">
        <v>22</v>
      </c>
      <c r="Q204">
        <v>26</v>
      </c>
      <c r="R204">
        <v>27</v>
      </c>
      <c r="S204">
        <v>34</v>
      </c>
      <c r="T204">
        <v>36</v>
      </c>
      <c r="U204">
        <v>36</v>
      </c>
      <c r="V204">
        <f>MAX(A204:U204)</f>
        <v>36</v>
      </c>
      <c r="W204" s="4" t="s">
        <v>286</v>
      </c>
      <c r="X204">
        <v>2.9265804178617842E-4</v>
      </c>
      <c r="Y204">
        <v>74.73</v>
      </c>
      <c r="Z204">
        <v>21</v>
      </c>
      <c r="AA204">
        <v>65.3</v>
      </c>
      <c r="AB204">
        <v>47</v>
      </c>
      <c r="AC204">
        <v>22.1</v>
      </c>
      <c r="AD204">
        <v>9.5</v>
      </c>
      <c r="AE204">
        <v>1523</v>
      </c>
      <c r="AF204">
        <v>31.1</v>
      </c>
      <c r="AG204">
        <v>37.1</v>
      </c>
      <c r="AH204">
        <v>24.8</v>
      </c>
      <c r="AI204">
        <v>48.5</v>
      </c>
      <c r="AJ204">
        <v>15.3</v>
      </c>
      <c r="AK204">
        <v>20.5</v>
      </c>
      <c r="AL204">
        <v>13.6</v>
      </c>
      <c r="AM204">
        <v>20.399999999999999</v>
      </c>
      <c r="AN204">
        <v>23.7</v>
      </c>
      <c r="AO204">
        <v>37.25</v>
      </c>
      <c r="AP204">
        <v>43.25</v>
      </c>
      <c r="AQ204">
        <v>42.6</v>
      </c>
      <c r="AR204">
        <v>166</v>
      </c>
      <c r="AS204" t="s">
        <v>46</v>
      </c>
      <c r="AT204" t="s">
        <v>315</v>
      </c>
      <c r="AU204" t="s">
        <v>321</v>
      </c>
      <c r="AV204" t="s">
        <v>47</v>
      </c>
      <c r="AW204" t="s">
        <v>317</v>
      </c>
      <c r="AX204" t="s">
        <v>323</v>
      </c>
      <c r="AY204">
        <v>6.8000000000000005E-2</v>
      </c>
      <c r="AZ204">
        <v>6.218</v>
      </c>
      <c r="BA204">
        <v>0.74490999999999996</v>
      </c>
      <c r="BB204">
        <v>4.3660100000000002</v>
      </c>
      <c r="BC204">
        <v>4.08</v>
      </c>
      <c r="BD204">
        <v>7.0303226852602503</v>
      </c>
      <c r="BE204" t="s">
        <v>319</v>
      </c>
      <c r="BF204" t="s">
        <v>324</v>
      </c>
    </row>
    <row r="205" spans="1:58" customFormat="1" x14ac:dyDescent="0.35">
      <c r="A205">
        <v>10</v>
      </c>
      <c r="B205">
        <v>10</v>
      </c>
      <c r="C205">
        <v>10</v>
      </c>
      <c r="D205">
        <v>10</v>
      </c>
      <c r="E205">
        <v>10</v>
      </c>
      <c r="F205">
        <v>10</v>
      </c>
      <c r="G205">
        <v>10</v>
      </c>
      <c r="H205">
        <v>10</v>
      </c>
      <c r="I205">
        <v>10</v>
      </c>
      <c r="J205">
        <v>10</v>
      </c>
      <c r="K205">
        <v>11</v>
      </c>
      <c r="L205">
        <v>11</v>
      </c>
      <c r="M205">
        <v>11</v>
      </c>
      <c r="N205">
        <v>11</v>
      </c>
      <c r="O205">
        <v>10</v>
      </c>
      <c r="P205">
        <v>10</v>
      </c>
      <c r="Q205">
        <v>10</v>
      </c>
      <c r="R205">
        <v>10</v>
      </c>
      <c r="S205">
        <v>10</v>
      </c>
      <c r="T205">
        <v>10</v>
      </c>
      <c r="U205">
        <v>10</v>
      </c>
      <c r="V205">
        <f>MAX(A205:U205)</f>
        <v>11</v>
      </c>
      <c r="W205" s="4" t="s">
        <v>287</v>
      </c>
      <c r="X205">
        <v>0.66598432108227013</v>
      </c>
      <c r="Y205">
        <v>0.15</v>
      </c>
      <c r="Z205" t="s">
        <v>332</v>
      </c>
      <c r="AA205">
        <v>59.4</v>
      </c>
      <c r="AB205">
        <v>54</v>
      </c>
      <c r="AC205">
        <v>27.4</v>
      </c>
      <c r="AD205">
        <v>3</v>
      </c>
      <c r="AE205">
        <v>1278</v>
      </c>
      <c r="AF205">
        <v>27.4</v>
      </c>
      <c r="AG205">
        <v>29.5</v>
      </c>
      <c r="AH205">
        <v>21.2</v>
      </c>
      <c r="AI205">
        <v>40</v>
      </c>
      <c r="AJ205">
        <v>23</v>
      </c>
      <c r="AK205">
        <v>37.5</v>
      </c>
      <c r="AL205">
        <v>19.100000000000001</v>
      </c>
      <c r="AM205">
        <v>31.2</v>
      </c>
      <c r="AN205">
        <v>20.6</v>
      </c>
      <c r="AO205">
        <v>38.549999999999997</v>
      </c>
      <c r="AP205">
        <v>46.65</v>
      </c>
      <c r="AQ205">
        <v>46.6</v>
      </c>
      <c r="AR205">
        <v>170</v>
      </c>
      <c r="AS205" t="s">
        <v>49</v>
      </c>
      <c r="AT205">
        <v>0</v>
      </c>
      <c r="AU205" t="s">
        <v>321</v>
      </c>
      <c r="AV205" t="s">
        <v>47</v>
      </c>
      <c r="AW205" t="s">
        <v>326</v>
      </c>
      <c r="AX205" t="s">
        <v>318</v>
      </c>
      <c r="AY205">
        <v>0</v>
      </c>
      <c r="AZ205">
        <v>10.103</v>
      </c>
      <c r="BA205">
        <v>1.762E-2</v>
      </c>
      <c r="BB205">
        <v>0.38919999999999999</v>
      </c>
      <c r="BC205">
        <v>0</v>
      </c>
      <c r="BD205">
        <v>-0.101183719798929</v>
      </c>
      <c r="BE205" t="s">
        <v>328</v>
      </c>
      <c r="BF205" t="s">
        <v>320</v>
      </c>
    </row>
    <row r="206" spans="1:58" customFormat="1" x14ac:dyDescent="0.35">
      <c r="A206">
        <v>10</v>
      </c>
      <c r="B206">
        <v>10</v>
      </c>
      <c r="C206">
        <v>10</v>
      </c>
      <c r="D206">
        <v>11</v>
      </c>
      <c r="E206">
        <v>16</v>
      </c>
      <c r="F206">
        <v>12</v>
      </c>
      <c r="G206">
        <v>11</v>
      </c>
      <c r="H206">
        <v>10</v>
      </c>
      <c r="I206">
        <v>13</v>
      </c>
      <c r="J206">
        <v>15</v>
      </c>
      <c r="K206">
        <v>15</v>
      </c>
      <c r="L206">
        <v>14</v>
      </c>
      <c r="M206">
        <v>14</v>
      </c>
      <c r="N206">
        <v>20</v>
      </c>
      <c r="O206">
        <v>16</v>
      </c>
      <c r="P206">
        <v>14</v>
      </c>
      <c r="Q206">
        <v>18</v>
      </c>
      <c r="R206">
        <v>18</v>
      </c>
      <c r="S206">
        <v>30</v>
      </c>
      <c r="T206">
        <v>39</v>
      </c>
      <c r="U206">
        <v>36</v>
      </c>
      <c r="V206">
        <f>MAX(A206:U206)</f>
        <v>39</v>
      </c>
      <c r="W206" s="4" t="s">
        <v>288</v>
      </c>
      <c r="X206">
        <v>3.1097247786084241E-2</v>
      </c>
      <c r="Y206">
        <v>65.23</v>
      </c>
      <c r="Z206" t="s">
        <v>333</v>
      </c>
      <c r="AA206">
        <v>87.3</v>
      </c>
      <c r="AB206">
        <v>52</v>
      </c>
      <c r="AC206">
        <v>26.7</v>
      </c>
      <c r="AD206">
        <v>14.5</v>
      </c>
      <c r="AE206">
        <v>1863</v>
      </c>
      <c r="AF206">
        <v>30.9</v>
      </c>
      <c r="AG206">
        <v>34.9</v>
      </c>
      <c r="AH206">
        <v>23.3</v>
      </c>
      <c r="AI206">
        <v>48.2</v>
      </c>
      <c r="AJ206">
        <v>18.8</v>
      </c>
      <c r="AK206">
        <v>23.4</v>
      </c>
      <c r="AL206">
        <v>17.2</v>
      </c>
      <c r="AM206">
        <v>23.7</v>
      </c>
      <c r="AN206">
        <v>27.6</v>
      </c>
      <c r="AO206">
        <v>40.450000000000003</v>
      </c>
      <c r="AP206">
        <v>46.4</v>
      </c>
      <c r="AQ206">
        <v>50.35</v>
      </c>
      <c r="AR206">
        <v>178</v>
      </c>
      <c r="AS206" t="s">
        <v>46</v>
      </c>
      <c r="AT206" t="s">
        <v>315</v>
      </c>
      <c r="AU206" t="s">
        <v>321</v>
      </c>
      <c r="AV206" t="s">
        <v>52</v>
      </c>
      <c r="AW206" t="s">
        <v>317</v>
      </c>
      <c r="AX206" t="s">
        <v>318</v>
      </c>
      <c r="AY206">
        <v>5.8000000000000003E-2</v>
      </c>
      <c r="AZ206">
        <v>5.9889999999999999</v>
      </c>
      <c r="BA206">
        <v>0.62470999999999999</v>
      </c>
      <c r="BB206">
        <v>4.94773</v>
      </c>
      <c r="BC206">
        <v>3.48</v>
      </c>
      <c r="BD206">
        <v>5.7869304361926304</v>
      </c>
      <c r="BE206" t="s">
        <v>319</v>
      </c>
      <c r="BF206" t="s">
        <v>324</v>
      </c>
    </row>
    <row r="207" spans="1:58" customFormat="1" x14ac:dyDescent="0.35">
      <c r="A207">
        <v>10</v>
      </c>
      <c r="B207">
        <v>10</v>
      </c>
      <c r="C207">
        <v>10</v>
      </c>
      <c r="D207">
        <v>10</v>
      </c>
      <c r="E207">
        <v>27</v>
      </c>
      <c r="F207">
        <v>31</v>
      </c>
      <c r="G207">
        <v>40</v>
      </c>
      <c r="H207">
        <v>14</v>
      </c>
      <c r="I207">
        <v>36</v>
      </c>
      <c r="J207">
        <v>42</v>
      </c>
      <c r="K207">
        <v>38</v>
      </c>
      <c r="L207">
        <v>40</v>
      </c>
      <c r="M207">
        <v>40</v>
      </c>
      <c r="N207">
        <v>40</v>
      </c>
      <c r="O207">
        <v>30</v>
      </c>
      <c r="P207">
        <v>40</v>
      </c>
      <c r="Q207">
        <v>40</v>
      </c>
      <c r="R207">
        <v>40</v>
      </c>
      <c r="S207">
        <v>40</v>
      </c>
      <c r="T207">
        <v>40</v>
      </c>
      <c r="U207">
        <v>40</v>
      </c>
      <c r="V207">
        <f>MAX(A207:U207)</f>
        <v>42</v>
      </c>
      <c r="W207" s="4" t="s">
        <v>289</v>
      </c>
      <c r="X207">
        <v>1.1868985581781559E-8</v>
      </c>
      <c r="Y207">
        <v>146.32</v>
      </c>
      <c r="Z207" t="s">
        <v>334</v>
      </c>
      <c r="AA207">
        <v>70.900000000000006</v>
      </c>
      <c r="AB207">
        <v>50</v>
      </c>
      <c r="AC207">
        <v>27.3</v>
      </c>
      <c r="AD207">
        <v>11</v>
      </c>
      <c r="AE207">
        <v>1589</v>
      </c>
      <c r="AF207">
        <v>29.4</v>
      </c>
      <c r="AG207">
        <v>35.6</v>
      </c>
      <c r="AH207">
        <v>22</v>
      </c>
      <c r="AI207">
        <v>46.8</v>
      </c>
      <c r="AJ207">
        <v>18.7</v>
      </c>
      <c r="AK207">
        <v>25.4</v>
      </c>
      <c r="AL207">
        <v>16.7</v>
      </c>
      <c r="AM207">
        <v>25.7</v>
      </c>
      <c r="AN207">
        <v>24.5</v>
      </c>
      <c r="AO207">
        <v>37.950000000000003</v>
      </c>
      <c r="AP207">
        <v>46.65</v>
      </c>
      <c r="AQ207">
        <v>45.8</v>
      </c>
      <c r="AR207">
        <v>170</v>
      </c>
      <c r="AS207" t="s">
        <v>46</v>
      </c>
      <c r="AT207" t="s">
        <v>315</v>
      </c>
      <c r="AU207" t="s">
        <v>316</v>
      </c>
      <c r="AV207" t="s">
        <v>47</v>
      </c>
      <c r="AW207" t="s">
        <v>317</v>
      </c>
      <c r="AX207" t="s">
        <v>318</v>
      </c>
      <c r="AY207">
        <v>8.5999999999999993E-2</v>
      </c>
      <c r="AZ207">
        <v>15.381</v>
      </c>
      <c r="BA207">
        <v>0.61065999999999998</v>
      </c>
      <c r="BB207">
        <v>7.5476700000000001</v>
      </c>
      <c r="BC207">
        <v>5.1599999999999904</v>
      </c>
      <c r="BD207">
        <v>2.7475271606940099</v>
      </c>
      <c r="BE207" t="s">
        <v>319</v>
      </c>
      <c r="BF207" t="s">
        <v>324</v>
      </c>
    </row>
    <row r="208" spans="1:58" customFormat="1" x14ac:dyDescent="0.35">
      <c r="A208">
        <v>10</v>
      </c>
      <c r="B208">
        <v>10</v>
      </c>
      <c r="C208">
        <v>12</v>
      </c>
      <c r="D208">
        <v>16</v>
      </c>
      <c r="E208">
        <v>21</v>
      </c>
      <c r="F208">
        <v>24</v>
      </c>
      <c r="G208">
        <v>25</v>
      </c>
      <c r="H208">
        <v>18</v>
      </c>
      <c r="I208">
        <v>16</v>
      </c>
      <c r="J208">
        <v>19</v>
      </c>
      <c r="K208">
        <v>20</v>
      </c>
      <c r="L208">
        <v>22</v>
      </c>
      <c r="M208">
        <v>22</v>
      </c>
      <c r="N208">
        <v>22</v>
      </c>
      <c r="O208">
        <v>14</v>
      </c>
      <c r="P208">
        <v>20</v>
      </c>
      <c r="Q208">
        <v>22</v>
      </c>
      <c r="R208">
        <v>22</v>
      </c>
      <c r="S208">
        <v>22</v>
      </c>
      <c r="T208">
        <v>22</v>
      </c>
      <c r="U208">
        <v>22</v>
      </c>
      <c r="V208">
        <f>MAX(A208:U208)</f>
        <v>25</v>
      </c>
      <c r="W208" s="4" t="s">
        <v>290</v>
      </c>
      <c r="X208">
        <v>5.713517073021662E-5</v>
      </c>
      <c r="Y208">
        <v>18.75</v>
      </c>
      <c r="Z208">
        <v>15</v>
      </c>
      <c r="AA208">
        <v>76.900000000000006</v>
      </c>
      <c r="AB208">
        <v>40</v>
      </c>
      <c r="AC208">
        <v>27.4</v>
      </c>
      <c r="AD208">
        <v>13</v>
      </c>
      <c r="AE208">
        <v>1687</v>
      </c>
      <c r="AF208">
        <v>29.8</v>
      </c>
      <c r="AG208">
        <v>35.700000000000003</v>
      </c>
      <c r="AH208">
        <v>22.3</v>
      </c>
      <c r="AI208">
        <v>47.2</v>
      </c>
      <c r="AJ208">
        <v>19.2</v>
      </c>
      <c r="AK208">
        <v>26</v>
      </c>
      <c r="AL208">
        <v>17.5</v>
      </c>
      <c r="AM208">
        <v>26.2</v>
      </c>
      <c r="AN208">
        <v>27.2</v>
      </c>
      <c r="AO208">
        <v>36.25</v>
      </c>
      <c r="AP208">
        <v>50.4</v>
      </c>
      <c r="AQ208">
        <v>44.9</v>
      </c>
      <c r="AR208">
        <v>168</v>
      </c>
      <c r="AS208" t="s">
        <v>46</v>
      </c>
      <c r="AT208" t="s">
        <v>330</v>
      </c>
      <c r="AU208" t="s">
        <v>316</v>
      </c>
      <c r="AV208" t="s">
        <v>52</v>
      </c>
      <c r="AW208" t="s">
        <v>317</v>
      </c>
      <c r="AX208" t="s">
        <v>318</v>
      </c>
      <c r="AY208">
        <v>2.4E-2</v>
      </c>
      <c r="AZ208">
        <v>14.704000000000001</v>
      </c>
      <c r="BA208">
        <v>0.36104999999999998</v>
      </c>
      <c r="BB208">
        <v>3.4615300000000002</v>
      </c>
      <c r="BC208">
        <v>1.44</v>
      </c>
      <c r="BD208">
        <v>1.0994000324306701</v>
      </c>
      <c r="BE208" t="s">
        <v>319</v>
      </c>
      <c r="BF208" t="s">
        <v>320</v>
      </c>
    </row>
    <row r="209" spans="1:58" customFormat="1" x14ac:dyDescent="0.35">
      <c r="A209" s="7">
        <v>10</v>
      </c>
      <c r="B209" s="7">
        <v>10</v>
      </c>
      <c r="C209" s="7">
        <v>10</v>
      </c>
      <c r="D209" s="7">
        <v>10</v>
      </c>
      <c r="E209" s="7">
        <v>12</v>
      </c>
      <c r="F209" s="7">
        <v>12</v>
      </c>
      <c r="G209" s="7">
        <v>10</v>
      </c>
      <c r="H209" s="7">
        <v>10</v>
      </c>
      <c r="I209" s="7">
        <v>10</v>
      </c>
      <c r="J209" s="7">
        <v>10</v>
      </c>
      <c r="K209" s="7">
        <v>12</v>
      </c>
      <c r="L209" s="7">
        <v>12</v>
      </c>
      <c r="M209" s="7">
        <v>10</v>
      </c>
      <c r="N209" s="7">
        <v>10</v>
      </c>
      <c r="O209" s="7">
        <v>10</v>
      </c>
      <c r="P209" s="7">
        <v>10</v>
      </c>
      <c r="Q209" s="7">
        <v>10</v>
      </c>
      <c r="R209" s="7">
        <v>12</v>
      </c>
      <c r="S209" s="7">
        <v>12</v>
      </c>
      <c r="T209" s="7">
        <v>12</v>
      </c>
      <c r="U209" s="7">
        <v>12</v>
      </c>
      <c r="V209">
        <f>MAX(A209:U209)</f>
        <v>12</v>
      </c>
      <c r="W209" s="4" t="s">
        <v>291</v>
      </c>
      <c r="X209">
        <v>0.34241017735936968</v>
      </c>
      <c r="Y209">
        <v>0.94</v>
      </c>
      <c r="Z209">
        <v>18</v>
      </c>
      <c r="AA209">
        <v>80.8</v>
      </c>
      <c r="AB209">
        <v>63</v>
      </c>
      <c r="AC209">
        <v>31.6</v>
      </c>
      <c r="AD209">
        <v>18</v>
      </c>
      <c r="AE209">
        <v>1716</v>
      </c>
      <c r="AF209">
        <v>27</v>
      </c>
      <c r="AG209">
        <v>33.299999999999997</v>
      </c>
      <c r="AH209">
        <v>19</v>
      </c>
      <c r="AI209">
        <v>44.5</v>
      </c>
      <c r="AJ209">
        <v>22</v>
      </c>
      <c r="AK209">
        <v>28.4</v>
      </c>
      <c r="AL209">
        <v>20.100000000000001</v>
      </c>
      <c r="AM209">
        <v>29.1</v>
      </c>
      <c r="AN209">
        <v>28.3</v>
      </c>
      <c r="AO209">
        <v>39.35</v>
      </c>
      <c r="AP209">
        <v>48.1</v>
      </c>
      <c r="AQ209">
        <v>46</v>
      </c>
      <c r="AR209">
        <v>169</v>
      </c>
      <c r="AS209" t="s">
        <v>46</v>
      </c>
      <c r="AT209" t="s">
        <v>330</v>
      </c>
      <c r="AU209" t="s">
        <v>316</v>
      </c>
      <c r="AV209" t="s">
        <v>52</v>
      </c>
      <c r="AW209" t="s">
        <v>326</v>
      </c>
      <c r="AX209" t="s">
        <v>318</v>
      </c>
      <c r="AY209">
        <v>4.0000000000000001E-3</v>
      </c>
      <c r="AZ209">
        <v>10.102</v>
      </c>
      <c r="BA209">
        <v>0.16203000000000001</v>
      </c>
      <c r="BB209">
        <v>0.88907999999999998</v>
      </c>
      <c r="BC209">
        <v>0.24</v>
      </c>
      <c r="BD209">
        <v>0.41251824225717498</v>
      </c>
      <c r="BE209" t="s">
        <v>319</v>
      </c>
      <c r="BF209" t="s">
        <v>320</v>
      </c>
    </row>
  </sheetData>
  <sortState xmlns:xlrd2="http://schemas.microsoft.com/office/spreadsheetml/2017/richdata2" ref="A2:BF209">
    <sortCondition ref="W1:W209"/>
  </sortState>
  <conditionalFormatting sqref="AZ1">
    <cfRule type="colorScale" priority="3">
      <colorScale>
        <cfvo type="min"/>
        <cfvo type="max"/>
        <color rgb="FFFCFCFF"/>
        <color rgb="FF63BE7B"/>
      </colorScale>
    </cfRule>
  </conditionalFormatting>
  <conditionalFormatting sqref="AZ1:AZ1048576">
    <cfRule type="colorScale" priority="2">
      <colorScale>
        <cfvo type="min"/>
        <cfvo type="max"/>
        <color rgb="FFFCFCFF"/>
        <color rgb="FF63BE7B"/>
      </colorScale>
    </cfRule>
  </conditionalFormatting>
  <conditionalFormatting sqref="BA1:BA1048576">
    <cfRule type="colorScale" priority="4">
      <colorScale>
        <cfvo type="min"/>
        <cfvo type="max"/>
        <color rgb="FFFCFCFF"/>
        <color rgb="FF63BE7B"/>
      </colorScale>
    </cfRule>
  </conditionalFormatting>
  <conditionalFormatting sqref="BB1:BB1048576">
    <cfRule type="colorScale" priority="1">
      <colorScale>
        <cfvo type="min"/>
        <cfvo type="max"/>
        <color rgb="FFFCFCFF"/>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C586-235A-45B5-A68E-759FCCDE37E6}">
  <dimension ref="A1:T209"/>
  <sheetViews>
    <sheetView workbookViewId="0">
      <selection activeCell="B1" sqref="B1"/>
    </sheetView>
  </sheetViews>
  <sheetFormatPr defaultRowHeight="14.5" x14ac:dyDescent="0.35"/>
  <cols>
    <col min="2" max="2" width="18.6328125" customWidth="1"/>
    <col min="3" max="3" width="12.26953125" bestFit="1" customWidth="1"/>
    <col min="4" max="4" width="12.453125" bestFit="1" customWidth="1"/>
    <col min="6" max="6" width="19.6328125" customWidth="1"/>
    <col min="7" max="7" width="39.1796875" style="15" customWidth="1"/>
    <col min="8" max="8" width="18.1796875" style="15" customWidth="1"/>
    <col min="9" max="9" width="8.7265625" customWidth="1"/>
    <col min="10" max="10" width="21.54296875" customWidth="1"/>
    <col min="11" max="11" width="22" customWidth="1"/>
    <col min="19" max="19" width="21.7265625" customWidth="1"/>
  </cols>
  <sheetData>
    <row r="1" spans="1:20" ht="72.5" x14ac:dyDescent="0.35">
      <c r="A1" s="14" t="s">
        <v>892</v>
      </c>
      <c r="B1" s="12" t="s">
        <v>337</v>
      </c>
      <c r="C1" s="5" t="s">
        <v>312</v>
      </c>
      <c r="D1" t="s">
        <v>336</v>
      </c>
      <c r="E1" s="5" t="s">
        <v>313</v>
      </c>
      <c r="F1" s="15" t="s">
        <v>338</v>
      </c>
      <c r="G1" s="15" t="s">
        <v>339</v>
      </c>
      <c r="H1" s="15" t="s">
        <v>340</v>
      </c>
      <c r="I1" t="s">
        <v>341</v>
      </c>
      <c r="J1" t="s">
        <v>342</v>
      </c>
      <c r="K1" t="s">
        <v>343</v>
      </c>
      <c r="L1" t="s">
        <v>344</v>
      </c>
      <c r="M1" t="s">
        <v>345</v>
      </c>
      <c r="N1" t="s">
        <v>346</v>
      </c>
      <c r="O1" t="s">
        <v>347</v>
      </c>
      <c r="P1" t="s">
        <v>348</v>
      </c>
      <c r="Q1" t="s">
        <v>349</v>
      </c>
      <c r="R1" t="s">
        <v>350</v>
      </c>
      <c r="S1" t="s">
        <v>351</v>
      </c>
      <c r="T1" t="s">
        <v>352</v>
      </c>
    </row>
    <row r="2" spans="1:20" x14ac:dyDescent="0.35">
      <c r="A2" t="s">
        <v>45</v>
      </c>
      <c r="B2">
        <v>0.25322210713359239</v>
      </c>
      <c r="C2">
        <v>1.3199999999999901</v>
      </c>
      <c r="D2">
        <v>1.7862818226041799</v>
      </c>
      <c r="E2" t="s">
        <v>319</v>
      </c>
      <c r="F2" t="s">
        <v>353</v>
      </c>
      <c r="G2" s="15" t="s">
        <v>354</v>
      </c>
      <c r="H2" t="s">
        <v>355</v>
      </c>
      <c r="I2" t="s">
        <v>355</v>
      </c>
      <c r="J2" t="s">
        <v>356</v>
      </c>
      <c r="K2" t="s">
        <v>357</v>
      </c>
      <c r="L2">
        <v>7</v>
      </c>
      <c r="M2">
        <v>6</v>
      </c>
      <c r="N2">
        <v>1</v>
      </c>
      <c r="O2">
        <v>5</v>
      </c>
      <c r="P2">
        <v>2</v>
      </c>
      <c r="Q2">
        <v>3</v>
      </c>
      <c r="R2">
        <v>4</v>
      </c>
      <c r="S2" t="s">
        <v>355</v>
      </c>
      <c r="T2" t="s">
        <v>355</v>
      </c>
    </row>
    <row r="3" spans="1:20" ht="29" x14ac:dyDescent="0.35">
      <c r="A3" t="s">
        <v>48</v>
      </c>
      <c r="B3">
        <v>8.926090016775216E-3</v>
      </c>
      <c r="C3">
        <v>0.89999999999999902</v>
      </c>
      <c r="D3">
        <v>0.80752391762607401</v>
      </c>
      <c r="E3" t="s">
        <v>319</v>
      </c>
      <c r="F3" t="s">
        <v>353</v>
      </c>
      <c r="G3" s="15" t="s">
        <v>358</v>
      </c>
      <c r="H3" t="s">
        <v>355</v>
      </c>
      <c r="I3" t="s">
        <v>355</v>
      </c>
      <c r="J3" t="s">
        <v>359</v>
      </c>
      <c r="L3">
        <v>1</v>
      </c>
      <c r="M3">
        <v>3</v>
      </c>
      <c r="N3">
        <v>2</v>
      </c>
      <c r="O3">
        <v>4</v>
      </c>
      <c r="P3">
        <v>5</v>
      </c>
      <c r="Q3">
        <v>7</v>
      </c>
      <c r="R3">
        <v>6</v>
      </c>
      <c r="S3" t="s">
        <v>355</v>
      </c>
      <c r="T3" t="s">
        <v>360</v>
      </c>
    </row>
    <row r="4" spans="1:20" x14ac:dyDescent="0.35">
      <c r="A4" t="s">
        <v>50</v>
      </c>
      <c r="B4" s="13">
        <v>0.49800867091612883</v>
      </c>
      <c r="C4">
        <v>0.12</v>
      </c>
      <c r="D4" s="7">
        <v>3.4402464731636102</v>
      </c>
      <c r="E4" t="s">
        <v>319</v>
      </c>
      <c r="F4" t="s">
        <v>353</v>
      </c>
      <c r="G4" s="15" t="s">
        <v>362</v>
      </c>
      <c r="H4" t="s">
        <v>363</v>
      </c>
      <c r="I4" t="s">
        <v>364</v>
      </c>
      <c r="J4" t="s">
        <v>365</v>
      </c>
      <c r="L4">
        <v>5</v>
      </c>
      <c r="M4">
        <v>6</v>
      </c>
      <c r="N4">
        <v>1</v>
      </c>
      <c r="O4">
        <v>2</v>
      </c>
      <c r="P4">
        <v>7</v>
      </c>
      <c r="Q4">
        <v>4</v>
      </c>
      <c r="R4">
        <v>3</v>
      </c>
      <c r="S4" t="s">
        <v>355</v>
      </c>
      <c r="T4" t="s">
        <v>366</v>
      </c>
    </row>
    <row r="5" spans="1:20" ht="29" x14ac:dyDescent="0.35">
      <c r="A5" t="s">
        <v>51</v>
      </c>
      <c r="B5">
        <v>8.2400474639428546E-9</v>
      </c>
      <c r="C5">
        <v>3.42</v>
      </c>
      <c r="D5">
        <v>1.1480460515647799</v>
      </c>
      <c r="E5" t="s">
        <v>319</v>
      </c>
      <c r="F5" t="s">
        <v>353</v>
      </c>
      <c r="G5" s="15" t="s">
        <v>367</v>
      </c>
      <c r="H5" s="15" t="s">
        <v>355</v>
      </c>
      <c r="I5" t="s">
        <v>355</v>
      </c>
      <c r="J5" t="s">
        <v>368</v>
      </c>
      <c r="K5" t="s">
        <v>369</v>
      </c>
      <c r="L5">
        <v>5</v>
      </c>
      <c r="M5">
        <v>2</v>
      </c>
      <c r="N5">
        <v>1</v>
      </c>
      <c r="O5">
        <v>4</v>
      </c>
      <c r="P5">
        <v>6</v>
      </c>
      <c r="Q5">
        <v>3</v>
      </c>
      <c r="R5">
        <v>7</v>
      </c>
      <c r="S5" t="s">
        <v>355</v>
      </c>
      <c r="T5" t="s">
        <v>370</v>
      </c>
    </row>
    <row r="6" spans="1:20" x14ac:dyDescent="0.35">
      <c r="A6" t="s">
        <v>53</v>
      </c>
      <c r="B6" s="13">
        <v>0.1083739724740483</v>
      </c>
      <c r="C6">
        <v>0.42</v>
      </c>
      <c r="D6">
        <v>1.2258796821793401</v>
      </c>
      <c r="E6" t="s">
        <v>319</v>
      </c>
      <c r="F6" t="s">
        <v>371</v>
      </c>
      <c r="G6" s="15" t="s">
        <v>372</v>
      </c>
      <c r="H6" t="s">
        <v>355</v>
      </c>
      <c r="I6" t="s">
        <v>355</v>
      </c>
      <c r="J6" t="s">
        <v>365</v>
      </c>
      <c r="L6">
        <v>1</v>
      </c>
      <c r="M6">
        <v>2</v>
      </c>
      <c r="N6">
        <v>3</v>
      </c>
      <c r="O6">
        <v>5</v>
      </c>
      <c r="P6">
        <v>6</v>
      </c>
      <c r="Q6">
        <v>4</v>
      </c>
      <c r="R6">
        <v>7</v>
      </c>
      <c r="S6" t="s">
        <v>373</v>
      </c>
      <c r="T6" t="s">
        <v>374</v>
      </c>
    </row>
    <row r="7" spans="1:20" x14ac:dyDescent="0.35">
      <c r="A7" t="s">
        <v>54</v>
      </c>
      <c r="B7">
        <v>5.1986598704745722E-2</v>
      </c>
      <c r="C7">
        <v>0.89999999999999902</v>
      </c>
      <c r="D7">
        <v>1.16166693692232</v>
      </c>
      <c r="E7" t="s">
        <v>319</v>
      </c>
      <c r="F7" t="s">
        <v>353</v>
      </c>
      <c r="G7" s="15" t="s">
        <v>375</v>
      </c>
      <c r="H7" t="s">
        <v>355</v>
      </c>
      <c r="I7" t="s">
        <v>376</v>
      </c>
      <c r="L7">
        <v>6</v>
      </c>
      <c r="M7">
        <v>3</v>
      </c>
      <c r="N7">
        <v>5</v>
      </c>
      <c r="O7">
        <v>1</v>
      </c>
      <c r="P7">
        <v>4</v>
      </c>
      <c r="Q7">
        <v>7</v>
      </c>
      <c r="R7">
        <v>2</v>
      </c>
      <c r="S7" t="s">
        <v>377</v>
      </c>
      <c r="T7" t="s">
        <v>378</v>
      </c>
    </row>
    <row r="8" spans="1:20" x14ac:dyDescent="0.35">
      <c r="A8" t="s">
        <v>55</v>
      </c>
      <c r="B8">
        <v>8.3419381572942964E-4</v>
      </c>
      <c r="C8">
        <v>4.8600000000000003</v>
      </c>
      <c r="D8">
        <v>4.4326252634992702</v>
      </c>
      <c r="E8" t="s">
        <v>319</v>
      </c>
      <c r="F8" t="s">
        <v>371</v>
      </c>
      <c r="G8" s="15" t="s">
        <v>379</v>
      </c>
      <c r="H8" s="15" t="s">
        <v>355</v>
      </c>
      <c r="I8" t="s">
        <v>355</v>
      </c>
      <c r="J8" t="s">
        <v>380</v>
      </c>
      <c r="L8">
        <v>5</v>
      </c>
      <c r="M8">
        <v>2</v>
      </c>
      <c r="N8">
        <v>4</v>
      </c>
      <c r="O8">
        <v>1</v>
      </c>
      <c r="P8">
        <v>3</v>
      </c>
      <c r="Q8">
        <v>6</v>
      </c>
      <c r="R8">
        <v>7</v>
      </c>
      <c r="S8" t="s">
        <v>381</v>
      </c>
      <c r="T8" t="s">
        <v>382</v>
      </c>
    </row>
    <row r="9" spans="1:20" x14ac:dyDescent="0.35">
      <c r="A9" t="s">
        <v>56</v>
      </c>
      <c r="B9">
        <v>9.747250155520287E-4</v>
      </c>
      <c r="C9">
        <v>5.22</v>
      </c>
      <c r="D9">
        <v>6.8240635641316603</v>
      </c>
      <c r="E9" t="s">
        <v>319</v>
      </c>
      <c r="F9" t="s">
        <v>353</v>
      </c>
      <c r="G9" s="15" t="s">
        <v>383</v>
      </c>
      <c r="H9" s="15" t="s">
        <v>355</v>
      </c>
      <c r="I9" t="s">
        <v>355</v>
      </c>
      <c r="J9" t="s">
        <v>380</v>
      </c>
      <c r="L9">
        <v>4</v>
      </c>
      <c r="M9">
        <v>1</v>
      </c>
      <c r="N9">
        <v>3</v>
      </c>
      <c r="O9">
        <v>7</v>
      </c>
      <c r="P9">
        <v>6</v>
      </c>
      <c r="Q9">
        <v>2</v>
      </c>
      <c r="R9">
        <v>5</v>
      </c>
      <c r="S9" t="s">
        <v>384</v>
      </c>
      <c r="T9" t="s">
        <v>385</v>
      </c>
    </row>
    <row r="10" spans="1:20" x14ac:dyDescent="0.35">
      <c r="A10" t="s">
        <v>57</v>
      </c>
      <c r="C10">
        <v>0</v>
      </c>
      <c r="D10">
        <v>0</v>
      </c>
      <c r="E10" t="s">
        <v>328</v>
      </c>
      <c r="F10" t="s">
        <v>386</v>
      </c>
      <c r="G10" s="15" t="s">
        <v>387</v>
      </c>
      <c r="H10" t="s">
        <v>355</v>
      </c>
      <c r="I10" t="s">
        <v>355</v>
      </c>
      <c r="J10" t="s">
        <v>380</v>
      </c>
      <c r="L10">
        <v>1</v>
      </c>
      <c r="M10">
        <v>5</v>
      </c>
      <c r="N10">
        <v>6</v>
      </c>
      <c r="O10">
        <v>4</v>
      </c>
      <c r="P10">
        <v>3</v>
      </c>
      <c r="Q10">
        <v>7</v>
      </c>
      <c r="R10">
        <v>2</v>
      </c>
      <c r="S10" t="s">
        <v>388</v>
      </c>
      <c r="T10" t="s">
        <v>389</v>
      </c>
    </row>
    <row r="11" spans="1:20" x14ac:dyDescent="0.35">
      <c r="A11" t="s">
        <v>58</v>
      </c>
      <c r="B11">
        <v>8.5047735649476056E-4</v>
      </c>
      <c r="C11">
        <v>0.24</v>
      </c>
      <c r="D11">
        <v>-0.155667261229122</v>
      </c>
      <c r="E11" t="s">
        <v>319</v>
      </c>
      <c r="F11" t="s">
        <v>353</v>
      </c>
      <c r="G11" s="15" t="s">
        <v>390</v>
      </c>
      <c r="H11" t="s">
        <v>391</v>
      </c>
      <c r="I11" t="s">
        <v>392</v>
      </c>
      <c r="J11" t="s">
        <v>359</v>
      </c>
      <c r="L11">
        <v>1</v>
      </c>
      <c r="M11">
        <v>7</v>
      </c>
      <c r="N11">
        <v>2</v>
      </c>
      <c r="O11">
        <v>5</v>
      </c>
      <c r="P11">
        <v>6</v>
      </c>
      <c r="Q11">
        <v>4</v>
      </c>
      <c r="R11">
        <v>3</v>
      </c>
      <c r="S11" t="s">
        <v>393</v>
      </c>
      <c r="T11" t="s">
        <v>393</v>
      </c>
    </row>
    <row r="12" spans="1:20" x14ac:dyDescent="0.35">
      <c r="A12" t="s">
        <v>59</v>
      </c>
      <c r="B12">
        <v>2.636403212431632E-3</v>
      </c>
      <c r="C12">
        <v>4.38</v>
      </c>
      <c r="D12">
        <v>4.6894762445273201</v>
      </c>
      <c r="E12" t="s">
        <v>319</v>
      </c>
      <c r="F12" t="s">
        <v>353</v>
      </c>
      <c r="G12" s="15" t="s">
        <v>394</v>
      </c>
      <c r="H12" s="15" t="s">
        <v>373</v>
      </c>
      <c r="I12" t="s">
        <v>373</v>
      </c>
      <c r="J12" t="s">
        <v>380</v>
      </c>
      <c r="L12">
        <v>2</v>
      </c>
      <c r="M12">
        <v>1</v>
      </c>
      <c r="N12">
        <v>3</v>
      </c>
      <c r="O12">
        <v>4</v>
      </c>
      <c r="P12">
        <v>5</v>
      </c>
      <c r="Q12">
        <v>6</v>
      </c>
      <c r="R12">
        <v>7</v>
      </c>
      <c r="S12" t="s">
        <v>395</v>
      </c>
      <c r="T12" t="s">
        <v>373</v>
      </c>
    </row>
    <row r="13" spans="1:20" x14ac:dyDescent="0.35">
      <c r="A13" t="s">
        <v>60</v>
      </c>
      <c r="B13">
        <v>1.329515082212534E-3</v>
      </c>
      <c r="C13">
        <v>1.38</v>
      </c>
      <c r="D13">
        <v>2.2338251986379101</v>
      </c>
      <c r="E13" t="s">
        <v>319</v>
      </c>
      <c r="F13" t="s">
        <v>353</v>
      </c>
      <c r="G13" s="15" t="s">
        <v>396</v>
      </c>
      <c r="H13" t="s">
        <v>397</v>
      </c>
      <c r="I13" t="s">
        <v>397</v>
      </c>
      <c r="J13" t="s">
        <v>359</v>
      </c>
      <c r="L13">
        <v>3</v>
      </c>
      <c r="M13">
        <v>6</v>
      </c>
      <c r="N13">
        <v>1</v>
      </c>
      <c r="O13">
        <v>2</v>
      </c>
      <c r="P13">
        <v>7</v>
      </c>
      <c r="Q13">
        <v>5</v>
      </c>
      <c r="R13">
        <v>4</v>
      </c>
      <c r="S13" t="s">
        <v>397</v>
      </c>
      <c r="T13" t="s">
        <v>397</v>
      </c>
    </row>
    <row r="14" spans="1:20" ht="29" x14ac:dyDescent="0.35">
      <c r="A14" t="s">
        <v>61</v>
      </c>
      <c r="B14">
        <v>3.4531892467221777E-2</v>
      </c>
      <c r="C14">
        <v>1.5</v>
      </c>
      <c r="D14">
        <v>1.98475758067131</v>
      </c>
      <c r="E14" t="s">
        <v>319</v>
      </c>
      <c r="F14" t="s">
        <v>353</v>
      </c>
      <c r="G14" s="15" t="s">
        <v>398</v>
      </c>
      <c r="H14" t="s">
        <v>399</v>
      </c>
      <c r="I14" t="s">
        <v>355</v>
      </c>
      <c r="J14" t="s">
        <v>356</v>
      </c>
      <c r="K14" t="s">
        <v>400</v>
      </c>
      <c r="L14">
        <v>4</v>
      </c>
      <c r="M14">
        <v>2</v>
      </c>
      <c r="N14">
        <v>3</v>
      </c>
      <c r="O14">
        <v>1</v>
      </c>
      <c r="P14">
        <v>5</v>
      </c>
      <c r="Q14">
        <v>7</v>
      </c>
      <c r="R14">
        <v>6</v>
      </c>
      <c r="S14" t="s">
        <v>401</v>
      </c>
      <c r="T14" t="s">
        <v>402</v>
      </c>
    </row>
    <row r="15" spans="1:20" x14ac:dyDescent="0.35">
      <c r="A15" t="s">
        <v>62</v>
      </c>
      <c r="C15">
        <v>0</v>
      </c>
      <c r="D15">
        <v>0</v>
      </c>
      <c r="E15" t="s">
        <v>328</v>
      </c>
      <c r="F15" t="s">
        <v>386</v>
      </c>
      <c r="G15" s="15" t="s">
        <v>403</v>
      </c>
      <c r="H15" t="s">
        <v>397</v>
      </c>
      <c r="I15" t="s">
        <v>397</v>
      </c>
      <c r="L15">
        <v>7</v>
      </c>
      <c r="M15">
        <v>5</v>
      </c>
      <c r="N15">
        <v>1</v>
      </c>
      <c r="O15">
        <v>2</v>
      </c>
      <c r="P15">
        <v>6</v>
      </c>
      <c r="Q15">
        <v>3</v>
      </c>
      <c r="R15">
        <v>4</v>
      </c>
      <c r="S15" t="s">
        <v>404</v>
      </c>
      <c r="T15" t="s">
        <v>405</v>
      </c>
    </row>
    <row r="16" spans="1:20" ht="29" x14ac:dyDescent="0.35">
      <c r="A16" t="s">
        <v>64</v>
      </c>
      <c r="B16">
        <v>3.8996604527153779E-3</v>
      </c>
      <c r="C16">
        <v>1.2</v>
      </c>
      <c r="D16">
        <v>1.4165720771850101</v>
      </c>
      <c r="E16" t="s">
        <v>319</v>
      </c>
      <c r="F16" t="s">
        <v>371</v>
      </c>
      <c r="G16" s="15" t="s">
        <v>406</v>
      </c>
      <c r="H16" t="s">
        <v>407</v>
      </c>
      <c r="I16" t="s">
        <v>408</v>
      </c>
      <c r="J16" t="s">
        <v>356</v>
      </c>
      <c r="K16" t="s">
        <v>373</v>
      </c>
      <c r="L16">
        <v>3</v>
      </c>
      <c r="M16">
        <v>1</v>
      </c>
      <c r="N16">
        <v>2</v>
      </c>
      <c r="O16">
        <v>4</v>
      </c>
      <c r="P16">
        <v>7</v>
      </c>
      <c r="Q16">
        <v>5</v>
      </c>
      <c r="R16">
        <v>6</v>
      </c>
      <c r="S16" t="s">
        <v>373</v>
      </c>
      <c r="T16" t="s">
        <v>373</v>
      </c>
    </row>
    <row r="17" spans="1:20" x14ac:dyDescent="0.35">
      <c r="A17" t="s">
        <v>65</v>
      </c>
      <c r="B17">
        <v>3.9967848835016428E-4</v>
      </c>
      <c r="C17">
        <v>0.6</v>
      </c>
      <c r="D17">
        <v>0.67715258634668396</v>
      </c>
      <c r="E17" t="s">
        <v>319</v>
      </c>
      <c r="F17" t="s">
        <v>386</v>
      </c>
      <c r="G17" s="15" t="s">
        <v>373</v>
      </c>
      <c r="H17" t="s">
        <v>355</v>
      </c>
      <c r="I17" t="s">
        <v>355</v>
      </c>
      <c r="J17" t="s">
        <v>409</v>
      </c>
      <c r="K17" t="s">
        <v>410</v>
      </c>
      <c r="L17">
        <v>2</v>
      </c>
      <c r="M17">
        <v>1</v>
      </c>
      <c r="N17">
        <v>3</v>
      </c>
      <c r="O17">
        <v>7</v>
      </c>
      <c r="P17">
        <v>5</v>
      </c>
      <c r="Q17">
        <v>4</v>
      </c>
      <c r="R17">
        <v>6</v>
      </c>
      <c r="S17" t="s">
        <v>355</v>
      </c>
      <c r="T17" t="s">
        <v>355</v>
      </c>
    </row>
    <row r="18" spans="1:20" x14ac:dyDescent="0.35">
      <c r="A18" t="s">
        <v>66</v>
      </c>
      <c r="B18">
        <v>2.2106595827142179E-4</v>
      </c>
      <c r="C18">
        <v>-0.18</v>
      </c>
      <c r="D18">
        <v>-0.239338414139776</v>
      </c>
      <c r="E18" t="s">
        <v>329</v>
      </c>
      <c r="F18" t="s">
        <v>386</v>
      </c>
      <c r="G18" s="15" t="s">
        <v>411</v>
      </c>
      <c r="H18" t="s">
        <v>411</v>
      </c>
      <c r="I18" t="s">
        <v>411</v>
      </c>
      <c r="J18" t="s">
        <v>380</v>
      </c>
      <c r="L18">
        <v>4</v>
      </c>
      <c r="M18">
        <v>5</v>
      </c>
      <c r="N18">
        <v>1</v>
      </c>
      <c r="O18">
        <v>3</v>
      </c>
      <c r="P18">
        <v>2</v>
      </c>
      <c r="Q18">
        <v>7</v>
      </c>
      <c r="R18">
        <v>6</v>
      </c>
      <c r="S18" t="s">
        <v>411</v>
      </c>
      <c r="T18" t="s">
        <v>411</v>
      </c>
    </row>
    <row r="19" spans="1:20" x14ac:dyDescent="0.35">
      <c r="A19" t="s">
        <v>67</v>
      </c>
      <c r="B19">
        <v>6.2511096432565236E-2</v>
      </c>
      <c r="C19">
        <v>0.96</v>
      </c>
      <c r="D19">
        <v>1.6539646505594201</v>
      </c>
      <c r="E19" t="s">
        <v>319</v>
      </c>
      <c r="F19" t="s">
        <v>353</v>
      </c>
      <c r="G19" s="15" t="s">
        <v>412</v>
      </c>
      <c r="H19" t="s">
        <v>355</v>
      </c>
      <c r="I19" t="s">
        <v>355</v>
      </c>
      <c r="J19" t="s">
        <v>356</v>
      </c>
      <c r="K19" t="s">
        <v>412</v>
      </c>
      <c r="L19">
        <v>6</v>
      </c>
      <c r="M19">
        <v>3</v>
      </c>
      <c r="N19">
        <v>1</v>
      </c>
      <c r="O19">
        <v>7</v>
      </c>
      <c r="P19">
        <v>5</v>
      </c>
      <c r="Q19">
        <v>2</v>
      </c>
      <c r="R19">
        <v>4</v>
      </c>
      <c r="S19" t="s">
        <v>373</v>
      </c>
      <c r="T19" t="s">
        <v>413</v>
      </c>
    </row>
    <row r="20" spans="1:20" x14ac:dyDescent="0.35">
      <c r="A20" t="s">
        <v>68</v>
      </c>
      <c r="B20">
        <v>5.9388717233115999E-3</v>
      </c>
      <c r="C20">
        <v>6.3</v>
      </c>
      <c r="D20">
        <v>7.8144965137019602</v>
      </c>
      <c r="E20" t="s">
        <v>319</v>
      </c>
      <c r="F20" t="s">
        <v>353</v>
      </c>
      <c r="G20" s="15" t="s">
        <v>414</v>
      </c>
      <c r="H20" s="15" t="s">
        <v>415</v>
      </c>
      <c r="I20" t="s">
        <v>355</v>
      </c>
      <c r="J20" t="s">
        <v>416</v>
      </c>
      <c r="K20" t="s">
        <v>417</v>
      </c>
      <c r="L20">
        <v>2</v>
      </c>
      <c r="M20">
        <v>1</v>
      </c>
      <c r="N20">
        <v>3</v>
      </c>
      <c r="O20">
        <v>5</v>
      </c>
      <c r="P20">
        <v>4</v>
      </c>
      <c r="Q20">
        <v>6</v>
      </c>
      <c r="R20">
        <v>7</v>
      </c>
      <c r="S20" t="s">
        <v>418</v>
      </c>
    </row>
    <row r="21" spans="1:20" x14ac:dyDescent="0.35">
      <c r="A21" t="s">
        <v>69</v>
      </c>
      <c r="B21">
        <v>4.4709562628643101E-7</v>
      </c>
      <c r="C21">
        <v>2.88</v>
      </c>
      <c r="D21">
        <v>2.1754499756769898</v>
      </c>
      <c r="E21" t="s">
        <v>319</v>
      </c>
      <c r="F21" t="s">
        <v>353</v>
      </c>
      <c r="G21" s="15" t="s">
        <v>419</v>
      </c>
      <c r="H21" t="s">
        <v>355</v>
      </c>
      <c r="I21" t="s">
        <v>355</v>
      </c>
      <c r="J21" t="s">
        <v>356</v>
      </c>
      <c r="K21" t="s">
        <v>387</v>
      </c>
      <c r="L21">
        <v>4</v>
      </c>
      <c r="M21">
        <v>2</v>
      </c>
      <c r="N21">
        <v>5</v>
      </c>
      <c r="O21">
        <v>6</v>
      </c>
      <c r="P21">
        <v>3</v>
      </c>
      <c r="Q21">
        <v>7</v>
      </c>
      <c r="R21">
        <v>1</v>
      </c>
      <c r="T21" t="s">
        <v>420</v>
      </c>
    </row>
    <row r="22" spans="1:20" ht="29" x14ac:dyDescent="0.35">
      <c r="A22" t="s">
        <v>70</v>
      </c>
      <c r="B22">
        <v>9.4711963066058339E-3</v>
      </c>
      <c r="C22">
        <v>-0.84</v>
      </c>
      <c r="D22">
        <v>-4.2808496838008699E-2</v>
      </c>
      <c r="E22" t="s">
        <v>329</v>
      </c>
      <c r="F22" t="s">
        <v>353</v>
      </c>
      <c r="G22" s="15" t="s">
        <v>421</v>
      </c>
      <c r="H22" t="s">
        <v>355</v>
      </c>
      <c r="I22" t="s">
        <v>355</v>
      </c>
      <c r="J22" t="s">
        <v>356</v>
      </c>
      <c r="L22">
        <v>2</v>
      </c>
      <c r="M22">
        <v>1</v>
      </c>
      <c r="N22">
        <v>3</v>
      </c>
      <c r="O22">
        <v>4</v>
      </c>
      <c r="P22">
        <v>6</v>
      </c>
      <c r="Q22">
        <v>5</v>
      </c>
      <c r="R22">
        <v>7</v>
      </c>
      <c r="S22" t="s">
        <v>355</v>
      </c>
      <c r="T22" t="s">
        <v>355</v>
      </c>
    </row>
    <row r="23" spans="1:20" ht="29" x14ac:dyDescent="0.35">
      <c r="A23" t="s">
        <v>71</v>
      </c>
      <c r="B23">
        <v>5.9987164403290511E-4</v>
      </c>
      <c r="C23">
        <v>2.5799999999999899</v>
      </c>
      <c r="D23" s="7">
        <v>4.4228960596724498</v>
      </c>
      <c r="E23" t="s">
        <v>319</v>
      </c>
      <c r="F23" t="s">
        <v>371</v>
      </c>
      <c r="G23" s="15" t="s">
        <v>422</v>
      </c>
      <c r="H23" t="s">
        <v>423</v>
      </c>
      <c r="I23" t="s">
        <v>424</v>
      </c>
      <c r="J23" t="s">
        <v>380</v>
      </c>
      <c r="L23">
        <v>1</v>
      </c>
      <c r="M23">
        <v>3</v>
      </c>
      <c r="N23">
        <v>2</v>
      </c>
      <c r="O23">
        <v>4</v>
      </c>
      <c r="P23">
        <v>6</v>
      </c>
      <c r="Q23">
        <v>5</v>
      </c>
      <c r="R23">
        <v>7</v>
      </c>
      <c r="S23" t="s">
        <v>355</v>
      </c>
      <c r="T23" t="s">
        <v>408</v>
      </c>
    </row>
    <row r="24" spans="1:20" x14ac:dyDescent="0.35">
      <c r="A24" t="s">
        <v>72</v>
      </c>
      <c r="B24">
        <v>2.8008834720835941E-7</v>
      </c>
      <c r="C24">
        <v>0.96</v>
      </c>
      <c r="D24">
        <v>0.12647964974866199</v>
      </c>
      <c r="E24" t="s">
        <v>319</v>
      </c>
      <c r="F24" t="s">
        <v>353</v>
      </c>
      <c r="G24" s="15" t="s">
        <v>425</v>
      </c>
      <c r="H24" t="s">
        <v>355</v>
      </c>
      <c r="I24" t="s">
        <v>426</v>
      </c>
      <c r="J24" t="s">
        <v>356</v>
      </c>
      <c r="K24" t="s">
        <v>427</v>
      </c>
      <c r="L24">
        <v>4</v>
      </c>
      <c r="M24">
        <v>1</v>
      </c>
      <c r="N24">
        <v>2</v>
      </c>
      <c r="O24">
        <v>3</v>
      </c>
      <c r="P24">
        <v>7</v>
      </c>
      <c r="Q24">
        <v>5</v>
      </c>
      <c r="R24">
        <v>6</v>
      </c>
      <c r="S24" t="s">
        <v>428</v>
      </c>
      <c r="T24" t="s">
        <v>387</v>
      </c>
    </row>
    <row r="25" spans="1:20" x14ac:dyDescent="0.35">
      <c r="A25" t="s">
        <v>73</v>
      </c>
      <c r="B25">
        <v>0.2360306116937736</v>
      </c>
      <c r="C25">
        <v>0</v>
      </c>
      <c r="D25">
        <v>0.75693205772660899</v>
      </c>
      <c r="E25" t="s">
        <v>328</v>
      </c>
      <c r="F25" t="s">
        <v>353</v>
      </c>
      <c r="G25" s="15" t="s">
        <v>429</v>
      </c>
      <c r="H25" t="s">
        <v>408</v>
      </c>
      <c r="I25" t="s">
        <v>408</v>
      </c>
      <c r="J25" t="s">
        <v>356</v>
      </c>
      <c r="K25" t="s">
        <v>430</v>
      </c>
      <c r="L25">
        <v>2</v>
      </c>
      <c r="M25">
        <v>1</v>
      </c>
      <c r="N25">
        <v>4</v>
      </c>
      <c r="O25">
        <v>3</v>
      </c>
      <c r="P25">
        <v>5</v>
      </c>
      <c r="Q25">
        <v>6</v>
      </c>
      <c r="R25">
        <v>7</v>
      </c>
      <c r="S25" t="s">
        <v>408</v>
      </c>
      <c r="T25" t="s">
        <v>408</v>
      </c>
    </row>
    <row r="26" spans="1:20" x14ac:dyDescent="0.35">
      <c r="A26" t="s">
        <v>74</v>
      </c>
      <c r="B26">
        <v>6.9658626723503939E-2</v>
      </c>
      <c r="C26">
        <v>0.42</v>
      </c>
      <c r="D26">
        <v>0.62656072644721905</v>
      </c>
      <c r="E26" t="s">
        <v>319</v>
      </c>
      <c r="F26" t="s">
        <v>353</v>
      </c>
      <c r="G26" s="15" t="s">
        <v>431</v>
      </c>
      <c r="H26" t="s">
        <v>355</v>
      </c>
      <c r="I26" t="s">
        <v>355</v>
      </c>
      <c r="J26" t="s">
        <v>356</v>
      </c>
      <c r="K26" t="s">
        <v>373</v>
      </c>
      <c r="L26">
        <v>1</v>
      </c>
      <c r="M26">
        <v>5</v>
      </c>
      <c r="N26">
        <v>7</v>
      </c>
      <c r="O26">
        <v>3</v>
      </c>
      <c r="P26">
        <v>2</v>
      </c>
      <c r="Q26">
        <v>6</v>
      </c>
      <c r="R26">
        <v>4</v>
      </c>
      <c r="S26" t="s">
        <v>373</v>
      </c>
      <c r="T26" t="s">
        <v>373</v>
      </c>
    </row>
    <row r="27" spans="1:20" ht="43.5" x14ac:dyDescent="0.35">
      <c r="A27" t="s">
        <v>75</v>
      </c>
      <c r="B27">
        <v>4.4264168605521141E-4</v>
      </c>
      <c r="C27">
        <v>4.62</v>
      </c>
      <c r="D27">
        <v>7.5926706664504602</v>
      </c>
      <c r="E27" t="s">
        <v>319</v>
      </c>
      <c r="F27" t="s">
        <v>371</v>
      </c>
      <c r="G27" s="15" t="s">
        <v>432</v>
      </c>
      <c r="H27" s="15" t="s">
        <v>355</v>
      </c>
      <c r="I27" t="s">
        <v>433</v>
      </c>
      <c r="J27" t="s">
        <v>434</v>
      </c>
      <c r="L27">
        <v>3</v>
      </c>
      <c r="M27">
        <v>5</v>
      </c>
      <c r="N27">
        <v>1</v>
      </c>
      <c r="O27">
        <v>2</v>
      </c>
      <c r="P27">
        <v>4</v>
      </c>
      <c r="Q27">
        <v>6</v>
      </c>
      <c r="R27">
        <v>7</v>
      </c>
      <c r="S27" t="s">
        <v>435</v>
      </c>
      <c r="T27" t="s">
        <v>436</v>
      </c>
    </row>
    <row r="28" spans="1:20" ht="29" x14ac:dyDescent="0.35">
      <c r="A28" t="s">
        <v>76</v>
      </c>
      <c r="B28">
        <v>6.5455877878287127E-4</v>
      </c>
      <c r="C28">
        <v>0.36</v>
      </c>
      <c r="D28">
        <v>0.62656072644721905</v>
      </c>
      <c r="E28" t="s">
        <v>319</v>
      </c>
      <c r="F28" t="s">
        <v>353</v>
      </c>
      <c r="G28" s="15" t="s">
        <v>437</v>
      </c>
      <c r="H28" t="s">
        <v>387</v>
      </c>
      <c r="I28" t="s">
        <v>387</v>
      </c>
      <c r="J28" t="s">
        <v>356</v>
      </c>
      <c r="K28" t="s">
        <v>438</v>
      </c>
      <c r="L28">
        <v>3</v>
      </c>
      <c r="M28">
        <v>1</v>
      </c>
      <c r="N28">
        <v>2</v>
      </c>
      <c r="O28">
        <v>4</v>
      </c>
      <c r="P28">
        <v>6</v>
      </c>
      <c r="Q28">
        <v>7</v>
      </c>
      <c r="R28">
        <v>5</v>
      </c>
      <c r="S28" t="s">
        <v>387</v>
      </c>
      <c r="T28" t="s">
        <v>387</v>
      </c>
    </row>
    <row r="29" spans="1:20" ht="58" x14ac:dyDescent="0.35">
      <c r="A29" t="s">
        <v>89</v>
      </c>
      <c r="B29">
        <v>2.3926526725186209E-4</v>
      </c>
      <c r="C29">
        <v>4.0199999999999996</v>
      </c>
      <c r="D29">
        <v>3.6834765688341098</v>
      </c>
      <c r="E29" t="s">
        <v>319</v>
      </c>
      <c r="F29" t="s">
        <v>371</v>
      </c>
      <c r="G29" s="15" t="s">
        <v>439</v>
      </c>
      <c r="H29" s="15" t="s">
        <v>440</v>
      </c>
      <c r="I29" t="s">
        <v>408</v>
      </c>
      <c r="J29" t="s">
        <v>368</v>
      </c>
      <c r="K29" t="s">
        <v>441</v>
      </c>
      <c r="L29">
        <v>4</v>
      </c>
      <c r="M29">
        <v>3</v>
      </c>
      <c r="N29">
        <v>1</v>
      </c>
      <c r="O29">
        <v>7</v>
      </c>
      <c r="P29">
        <v>6</v>
      </c>
      <c r="Q29">
        <v>2</v>
      </c>
      <c r="R29">
        <v>5</v>
      </c>
      <c r="S29" t="s">
        <v>442</v>
      </c>
      <c r="T29" t="s">
        <v>443</v>
      </c>
    </row>
    <row r="30" spans="1:20" x14ac:dyDescent="0.35">
      <c r="A30" t="s">
        <v>77</v>
      </c>
      <c r="B30">
        <v>2.4523583696738501E-5</v>
      </c>
      <c r="C30">
        <v>7.32</v>
      </c>
      <c r="D30">
        <v>9.2680395654288894</v>
      </c>
      <c r="E30" t="s">
        <v>319</v>
      </c>
      <c r="F30" t="s">
        <v>371</v>
      </c>
      <c r="G30" s="15" t="s">
        <v>444</v>
      </c>
      <c r="H30" s="15" t="s">
        <v>355</v>
      </c>
      <c r="I30" t="s">
        <v>355</v>
      </c>
      <c r="J30" t="s">
        <v>409</v>
      </c>
      <c r="K30" t="s">
        <v>445</v>
      </c>
      <c r="L30">
        <v>1</v>
      </c>
      <c r="M30">
        <v>3</v>
      </c>
      <c r="N30">
        <v>2</v>
      </c>
      <c r="O30">
        <v>4</v>
      </c>
      <c r="P30">
        <v>6</v>
      </c>
      <c r="Q30">
        <v>5</v>
      </c>
      <c r="R30">
        <v>7</v>
      </c>
      <c r="S30" t="s">
        <v>446</v>
      </c>
      <c r="T30" t="s">
        <v>447</v>
      </c>
    </row>
    <row r="31" spans="1:20" ht="29" x14ac:dyDescent="0.35">
      <c r="A31" t="s">
        <v>78</v>
      </c>
      <c r="B31" s="13">
        <v>0.28634263691373818</v>
      </c>
      <c r="C31">
        <v>6</v>
      </c>
      <c r="D31">
        <v>9.0890222150153992</v>
      </c>
      <c r="E31" t="s">
        <v>319</v>
      </c>
      <c r="F31" t="s">
        <v>371</v>
      </c>
      <c r="G31" s="15" t="s">
        <v>448</v>
      </c>
      <c r="H31" s="15" t="s">
        <v>355</v>
      </c>
      <c r="I31" t="s">
        <v>355</v>
      </c>
      <c r="J31" t="s">
        <v>359</v>
      </c>
      <c r="L31">
        <v>1</v>
      </c>
      <c r="M31">
        <v>2</v>
      </c>
      <c r="N31">
        <v>3</v>
      </c>
      <c r="O31">
        <v>4</v>
      </c>
      <c r="P31">
        <v>5</v>
      </c>
      <c r="Q31">
        <v>6</v>
      </c>
      <c r="R31">
        <v>7</v>
      </c>
      <c r="S31" t="s">
        <v>355</v>
      </c>
      <c r="T31" t="s">
        <v>355</v>
      </c>
    </row>
    <row r="32" spans="1:20" ht="43.5" x14ac:dyDescent="0.35">
      <c r="A32" t="s">
        <v>79</v>
      </c>
      <c r="B32">
        <v>1.26259819908963E-3</v>
      </c>
      <c r="C32">
        <v>-1.26</v>
      </c>
      <c r="D32">
        <v>-2.4673260904815901</v>
      </c>
      <c r="E32" t="s">
        <v>329</v>
      </c>
      <c r="F32" t="s">
        <v>371</v>
      </c>
      <c r="G32" s="15" t="s">
        <v>449</v>
      </c>
      <c r="H32" t="s">
        <v>450</v>
      </c>
      <c r="I32" t="s">
        <v>451</v>
      </c>
      <c r="J32" t="s">
        <v>365</v>
      </c>
      <c r="L32">
        <v>1</v>
      </c>
      <c r="M32">
        <v>2</v>
      </c>
      <c r="N32">
        <v>4</v>
      </c>
      <c r="O32">
        <v>6</v>
      </c>
      <c r="P32">
        <v>7</v>
      </c>
      <c r="Q32">
        <v>3</v>
      </c>
      <c r="R32">
        <v>5</v>
      </c>
      <c r="S32" t="s">
        <v>393</v>
      </c>
      <c r="T32" t="s">
        <v>393</v>
      </c>
    </row>
    <row r="33" spans="1:20" ht="29" x14ac:dyDescent="0.35">
      <c r="A33" t="s">
        <v>80</v>
      </c>
      <c r="B33">
        <v>8.7409295862472999E-7</v>
      </c>
      <c r="C33">
        <v>2.04</v>
      </c>
      <c r="D33">
        <v>0.852278255229447</v>
      </c>
      <c r="E33" t="s">
        <v>319</v>
      </c>
      <c r="F33" t="s">
        <v>353</v>
      </c>
      <c r="G33" s="15" t="s">
        <v>452</v>
      </c>
      <c r="H33" t="s">
        <v>453</v>
      </c>
      <c r="I33" t="s">
        <v>454</v>
      </c>
      <c r="J33" t="s">
        <v>380</v>
      </c>
      <c r="L33">
        <v>5</v>
      </c>
      <c r="M33">
        <v>3</v>
      </c>
      <c r="N33">
        <v>1</v>
      </c>
      <c r="O33">
        <v>4</v>
      </c>
      <c r="P33">
        <v>6</v>
      </c>
      <c r="Q33">
        <v>2</v>
      </c>
      <c r="R33">
        <v>7</v>
      </c>
      <c r="S33" t="s">
        <v>355</v>
      </c>
      <c r="T33" t="s">
        <v>455</v>
      </c>
    </row>
    <row r="34" spans="1:20" x14ac:dyDescent="0.35">
      <c r="A34" t="s">
        <v>90</v>
      </c>
      <c r="B34">
        <v>2.4164010327061811E-8</v>
      </c>
      <c r="C34">
        <v>4.38</v>
      </c>
      <c r="D34">
        <v>2.9771363710069698</v>
      </c>
      <c r="E34" t="s">
        <v>319</v>
      </c>
      <c r="F34" t="s">
        <v>353</v>
      </c>
      <c r="G34" s="15" t="s">
        <v>456</v>
      </c>
      <c r="H34" s="15" t="s">
        <v>355</v>
      </c>
      <c r="I34" t="s">
        <v>355</v>
      </c>
      <c r="J34" t="s">
        <v>365</v>
      </c>
      <c r="L34">
        <v>2</v>
      </c>
      <c r="M34">
        <v>5</v>
      </c>
      <c r="N34">
        <v>1</v>
      </c>
      <c r="O34">
        <v>4</v>
      </c>
      <c r="P34">
        <v>3</v>
      </c>
      <c r="Q34">
        <v>6</v>
      </c>
      <c r="R34">
        <v>7</v>
      </c>
      <c r="S34" t="s">
        <v>457</v>
      </c>
      <c r="T34" t="s">
        <v>458</v>
      </c>
    </row>
    <row r="35" spans="1:20" x14ac:dyDescent="0.35">
      <c r="A35" t="s">
        <v>81</v>
      </c>
      <c r="B35">
        <v>0.54743982455301943</v>
      </c>
      <c r="C35">
        <v>0.06</v>
      </c>
      <c r="D35">
        <v>-0.28798443327387702</v>
      </c>
      <c r="E35" t="s">
        <v>319</v>
      </c>
      <c r="F35" t="s">
        <v>353</v>
      </c>
      <c r="G35" s="15" t="s">
        <v>459</v>
      </c>
      <c r="H35" t="s">
        <v>355</v>
      </c>
      <c r="I35" t="s">
        <v>460</v>
      </c>
      <c r="L35">
        <v>5</v>
      </c>
      <c r="M35">
        <v>4</v>
      </c>
      <c r="N35">
        <v>6</v>
      </c>
      <c r="O35">
        <v>1</v>
      </c>
      <c r="P35">
        <v>2</v>
      </c>
      <c r="Q35">
        <v>7</v>
      </c>
      <c r="R35">
        <v>3</v>
      </c>
      <c r="S35" t="s">
        <v>355</v>
      </c>
      <c r="T35" t="s">
        <v>355</v>
      </c>
    </row>
    <row r="36" spans="1:20" x14ac:dyDescent="0.35">
      <c r="A36" t="s">
        <v>91</v>
      </c>
      <c r="B36">
        <v>0.864700678231069</v>
      </c>
      <c r="C36">
        <v>-0.18</v>
      </c>
      <c r="D36">
        <v>-0.112858764391113</v>
      </c>
      <c r="E36" t="s">
        <v>329</v>
      </c>
      <c r="F36" t="s">
        <v>386</v>
      </c>
      <c r="G36" s="15" t="s">
        <v>461</v>
      </c>
      <c r="H36" t="s">
        <v>355</v>
      </c>
      <c r="I36" t="s">
        <v>355</v>
      </c>
      <c r="J36" t="s">
        <v>380</v>
      </c>
      <c r="L36">
        <v>4</v>
      </c>
      <c r="M36">
        <v>3</v>
      </c>
      <c r="N36">
        <v>2</v>
      </c>
      <c r="O36">
        <v>5</v>
      </c>
      <c r="P36">
        <v>1</v>
      </c>
      <c r="Q36">
        <v>6</v>
      </c>
      <c r="R36">
        <v>7</v>
      </c>
      <c r="S36" t="s">
        <v>355</v>
      </c>
      <c r="T36" t="s">
        <v>355</v>
      </c>
    </row>
    <row r="37" spans="1:20" ht="29" x14ac:dyDescent="0.35">
      <c r="A37" t="s">
        <v>92</v>
      </c>
      <c r="B37">
        <v>0.96075226810180181</v>
      </c>
      <c r="C37">
        <v>0</v>
      </c>
      <c r="D37">
        <v>0</v>
      </c>
      <c r="E37" t="s">
        <v>328</v>
      </c>
      <c r="F37" t="s">
        <v>353</v>
      </c>
      <c r="G37" s="15" t="s">
        <v>462</v>
      </c>
      <c r="H37" t="s">
        <v>355</v>
      </c>
      <c r="I37" t="s">
        <v>463</v>
      </c>
      <c r="J37" t="s">
        <v>464</v>
      </c>
      <c r="L37">
        <v>1</v>
      </c>
      <c r="M37">
        <v>3</v>
      </c>
      <c r="N37">
        <v>7</v>
      </c>
      <c r="O37">
        <v>2</v>
      </c>
      <c r="P37">
        <v>5</v>
      </c>
      <c r="Q37">
        <v>4</v>
      </c>
      <c r="R37">
        <v>6</v>
      </c>
      <c r="S37" t="s">
        <v>355</v>
      </c>
      <c r="T37" t="s">
        <v>465</v>
      </c>
    </row>
    <row r="38" spans="1:20" x14ac:dyDescent="0.35">
      <c r="A38" t="s">
        <v>93</v>
      </c>
      <c r="B38">
        <v>4.6492492556377978E-4</v>
      </c>
      <c r="C38">
        <v>1.68</v>
      </c>
      <c r="D38">
        <v>2.1190205934814301</v>
      </c>
      <c r="E38" t="s">
        <v>319</v>
      </c>
      <c r="F38" t="s">
        <v>353</v>
      </c>
      <c r="G38" s="15" t="s">
        <v>466</v>
      </c>
      <c r="H38" t="s">
        <v>355</v>
      </c>
      <c r="I38" t="s">
        <v>467</v>
      </c>
      <c r="J38" t="s">
        <v>356</v>
      </c>
      <c r="K38" t="s">
        <v>387</v>
      </c>
      <c r="L38">
        <v>2</v>
      </c>
      <c r="M38">
        <v>1</v>
      </c>
      <c r="N38">
        <v>4</v>
      </c>
      <c r="O38">
        <v>7</v>
      </c>
      <c r="P38">
        <v>6</v>
      </c>
      <c r="Q38">
        <v>3</v>
      </c>
      <c r="R38">
        <v>5</v>
      </c>
      <c r="S38" t="s">
        <v>355</v>
      </c>
      <c r="T38" t="s">
        <v>468</v>
      </c>
    </row>
    <row r="39" spans="1:20" ht="29" x14ac:dyDescent="0.35">
      <c r="A39" t="s">
        <v>94</v>
      </c>
      <c r="B39">
        <v>9.6976573164336764E-10</v>
      </c>
      <c r="C39">
        <v>5.22</v>
      </c>
      <c r="D39">
        <v>6.2617155829414601</v>
      </c>
      <c r="E39" t="s">
        <v>319</v>
      </c>
      <c r="F39" t="s">
        <v>371</v>
      </c>
      <c r="G39" s="15" t="s">
        <v>469</v>
      </c>
      <c r="H39" s="15" t="s">
        <v>355</v>
      </c>
      <c r="I39" t="s">
        <v>355</v>
      </c>
      <c r="J39" t="s">
        <v>464</v>
      </c>
      <c r="L39">
        <v>1</v>
      </c>
      <c r="M39">
        <v>2</v>
      </c>
      <c r="N39">
        <v>3</v>
      </c>
      <c r="O39">
        <v>5</v>
      </c>
      <c r="P39">
        <v>4</v>
      </c>
      <c r="Q39">
        <v>7</v>
      </c>
      <c r="R39">
        <v>6</v>
      </c>
      <c r="T39" t="s">
        <v>470</v>
      </c>
    </row>
    <row r="40" spans="1:20" x14ac:dyDescent="0.35">
      <c r="A40" t="s">
        <v>95</v>
      </c>
      <c r="B40">
        <v>3.8913603270850333E-2</v>
      </c>
      <c r="C40">
        <v>1.1399999999999999</v>
      </c>
      <c r="D40">
        <v>2.0839954597048802</v>
      </c>
      <c r="E40" t="s">
        <v>319</v>
      </c>
      <c r="F40" t="s">
        <v>353</v>
      </c>
      <c r="G40" s="15" t="s">
        <v>471</v>
      </c>
      <c r="H40" t="s">
        <v>355</v>
      </c>
      <c r="I40" t="s">
        <v>355</v>
      </c>
      <c r="J40" t="s">
        <v>365</v>
      </c>
      <c r="L40">
        <v>2</v>
      </c>
      <c r="M40">
        <v>7</v>
      </c>
      <c r="N40">
        <v>1</v>
      </c>
      <c r="O40">
        <v>4</v>
      </c>
      <c r="P40">
        <v>5</v>
      </c>
      <c r="Q40">
        <v>3</v>
      </c>
      <c r="R40">
        <v>6</v>
      </c>
      <c r="S40" t="s">
        <v>355</v>
      </c>
      <c r="T40" t="s">
        <v>355</v>
      </c>
    </row>
    <row r="41" spans="1:20" ht="29" x14ac:dyDescent="0.35">
      <c r="A41" t="s">
        <v>82</v>
      </c>
      <c r="B41">
        <v>8.075050706111286E-3</v>
      </c>
      <c r="C41">
        <v>1.38</v>
      </c>
      <c r="D41">
        <v>1.7240149181125299</v>
      </c>
      <c r="E41" t="s">
        <v>319</v>
      </c>
      <c r="F41" t="s">
        <v>353</v>
      </c>
      <c r="G41" s="15" t="s">
        <v>472</v>
      </c>
      <c r="H41" t="s">
        <v>473</v>
      </c>
      <c r="I41" t="s">
        <v>474</v>
      </c>
      <c r="J41" t="s">
        <v>356</v>
      </c>
      <c r="K41" t="s">
        <v>475</v>
      </c>
      <c r="L41">
        <v>1</v>
      </c>
      <c r="M41">
        <v>6</v>
      </c>
      <c r="N41">
        <v>5</v>
      </c>
      <c r="O41">
        <v>4</v>
      </c>
      <c r="P41">
        <v>7</v>
      </c>
      <c r="Q41">
        <v>2</v>
      </c>
      <c r="R41">
        <v>3</v>
      </c>
      <c r="S41" t="s">
        <v>476</v>
      </c>
      <c r="T41" t="s">
        <v>477</v>
      </c>
    </row>
    <row r="42" spans="1:20" x14ac:dyDescent="0.35">
      <c r="A42" t="s">
        <v>97</v>
      </c>
      <c r="B42">
        <v>7.3037779804245551E-4</v>
      </c>
      <c r="C42">
        <v>0.3</v>
      </c>
      <c r="D42">
        <v>0.59153559267066602</v>
      </c>
      <c r="E42" t="s">
        <v>319</v>
      </c>
      <c r="F42" t="s">
        <v>353</v>
      </c>
      <c r="G42" s="15" t="s">
        <v>478</v>
      </c>
      <c r="H42" t="s">
        <v>355</v>
      </c>
      <c r="I42" t="s">
        <v>355</v>
      </c>
      <c r="J42" t="s">
        <v>359</v>
      </c>
      <c r="L42">
        <v>7</v>
      </c>
      <c r="M42">
        <v>2</v>
      </c>
      <c r="N42">
        <v>3</v>
      </c>
      <c r="O42">
        <v>1</v>
      </c>
      <c r="P42">
        <v>4</v>
      </c>
      <c r="Q42">
        <v>6</v>
      </c>
      <c r="R42">
        <v>5</v>
      </c>
      <c r="S42" t="s">
        <v>355</v>
      </c>
      <c r="T42" t="s">
        <v>355</v>
      </c>
    </row>
    <row r="43" spans="1:20" x14ac:dyDescent="0.35">
      <c r="A43" t="s">
        <v>98</v>
      </c>
      <c r="B43">
        <v>0.13204227703744409</v>
      </c>
      <c r="C43">
        <v>-0.48</v>
      </c>
      <c r="D43">
        <v>0.80946975839143798</v>
      </c>
      <c r="E43" t="s">
        <v>329</v>
      </c>
      <c r="F43" t="s">
        <v>479</v>
      </c>
      <c r="G43" s="15" t="s">
        <v>414</v>
      </c>
      <c r="H43" t="s">
        <v>480</v>
      </c>
      <c r="I43" t="s">
        <v>481</v>
      </c>
      <c r="J43" t="s">
        <v>434</v>
      </c>
      <c r="L43">
        <v>4</v>
      </c>
      <c r="M43">
        <v>2</v>
      </c>
      <c r="N43">
        <v>3</v>
      </c>
      <c r="O43">
        <v>5</v>
      </c>
      <c r="P43">
        <v>6</v>
      </c>
      <c r="Q43">
        <v>1</v>
      </c>
      <c r="R43">
        <v>7</v>
      </c>
      <c r="S43" t="s">
        <v>482</v>
      </c>
      <c r="T43" t="s">
        <v>483</v>
      </c>
    </row>
    <row r="44" spans="1:20" x14ac:dyDescent="0.35">
      <c r="A44" t="s">
        <v>99</v>
      </c>
      <c r="C44">
        <v>0</v>
      </c>
      <c r="D44">
        <v>0</v>
      </c>
      <c r="E44" t="s">
        <v>328</v>
      </c>
      <c r="F44" t="s">
        <v>386</v>
      </c>
      <c r="G44" s="15">
        <v>0</v>
      </c>
      <c r="H44">
        <v>0</v>
      </c>
      <c r="I44">
        <v>0</v>
      </c>
      <c r="J44" t="s">
        <v>359</v>
      </c>
      <c r="L44">
        <v>3</v>
      </c>
      <c r="M44">
        <v>1</v>
      </c>
      <c r="N44">
        <v>2</v>
      </c>
      <c r="O44">
        <v>6</v>
      </c>
      <c r="P44">
        <v>7</v>
      </c>
      <c r="Q44">
        <v>4</v>
      </c>
      <c r="R44">
        <v>5</v>
      </c>
      <c r="S44">
        <v>0</v>
      </c>
      <c r="T44">
        <v>0</v>
      </c>
    </row>
    <row r="45" spans="1:20" x14ac:dyDescent="0.35">
      <c r="A45" t="s">
        <v>83</v>
      </c>
      <c r="B45">
        <v>4.6833169103247863E-2</v>
      </c>
      <c r="C45">
        <v>0.6</v>
      </c>
      <c r="D45">
        <v>0.61683152262039798</v>
      </c>
      <c r="E45" t="s">
        <v>319</v>
      </c>
      <c r="F45" t="s">
        <v>353</v>
      </c>
      <c r="G45" s="15" t="s">
        <v>484</v>
      </c>
      <c r="H45" t="s">
        <v>355</v>
      </c>
      <c r="I45" t="s">
        <v>355</v>
      </c>
      <c r="J45" t="s">
        <v>356</v>
      </c>
      <c r="K45" t="s">
        <v>485</v>
      </c>
      <c r="L45">
        <v>2</v>
      </c>
      <c r="M45">
        <v>7</v>
      </c>
      <c r="N45">
        <v>1</v>
      </c>
      <c r="O45">
        <v>4</v>
      </c>
      <c r="P45">
        <v>5</v>
      </c>
      <c r="Q45">
        <v>3</v>
      </c>
      <c r="R45">
        <v>6</v>
      </c>
      <c r="S45" t="s">
        <v>486</v>
      </c>
      <c r="T45" t="s">
        <v>487</v>
      </c>
    </row>
    <row r="46" spans="1:20" x14ac:dyDescent="0.35">
      <c r="A46" t="s">
        <v>100</v>
      </c>
      <c r="B46">
        <v>2.1312539561118189E-2</v>
      </c>
      <c r="C46">
        <v>0.3</v>
      </c>
      <c r="D46">
        <v>0.57986054807848197</v>
      </c>
      <c r="E46" t="s">
        <v>319</v>
      </c>
      <c r="F46" t="s">
        <v>353</v>
      </c>
      <c r="G46" s="15" t="s">
        <v>488</v>
      </c>
      <c r="H46" t="s">
        <v>355</v>
      </c>
      <c r="I46" t="s">
        <v>489</v>
      </c>
      <c r="J46" t="s">
        <v>365</v>
      </c>
      <c r="L46">
        <v>3</v>
      </c>
      <c r="M46">
        <v>1</v>
      </c>
      <c r="N46">
        <v>6</v>
      </c>
      <c r="O46">
        <v>5</v>
      </c>
      <c r="P46">
        <v>4</v>
      </c>
      <c r="Q46">
        <v>2</v>
      </c>
      <c r="R46">
        <v>7</v>
      </c>
      <c r="S46" t="s">
        <v>490</v>
      </c>
      <c r="T46" t="s">
        <v>491</v>
      </c>
    </row>
    <row r="47" spans="1:20" ht="43.5" x14ac:dyDescent="0.35">
      <c r="A47" t="s">
        <v>101</v>
      </c>
      <c r="B47">
        <v>6.0419856600333811E-7</v>
      </c>
      <c r="C47">
        <v>3.1199999999999899</v>
      </c>
      <c r="D47">
        <v>2.7455813199286498</v>
      </c>
      <c r="E47" t="s">
        <v>319</v>
      </c>
      <c r="F47" t="s">
        <v>353</v>
      </c>
      <c r="G47" s="15" t="s">
        <v>492</v>
      </c>
      <c r="H47" s="15" t="s">
        <v>355</v>
      </c>
      <c r="I47" t="s">
        <v>355</v>
      </c>
      <c r="J47" t="s">
        <v>359</v>
      </c>
      <c r="L47">
        <v>1</v>
      </c>
      <c r="M47">
        <v>3</v>
      </c>
      <c r="N47">
        <v>2</v>
      </c>
      <c r="O47">
        <v>4</v>
      </c>
      <c r="P47">
        <v>5</v>
      </c>
      <c r="Q47">
        <v>6</v>
      </c>
      <c r="R47">
        <v>7</v>
      </c>
      <c r="S47" t="s">
        <v>493</v>
      </c>
      <c r="T47" t="s">
        <v>494</v>
      </c>
    </row>
    <row r="48" spans="1:20" x14ac:dyDescent="0.35">
      <c r="A48" t="s">
        <v>102</v>
      </c>
      <c r="B48">
        <v>1.7521494126384791E-3</v>
      </c>
      <c r="C48">
        <v>2.82</v>
      </c>
      <c r="D48">
        <v>4.1057240149181098</v>
      </c>
      <c r="E48" t="s">
        <v>319</v>
      </c>
      <c r="F48" t="s">
        <v>371</v>
      </c>
      <c r="G48" s="15" t="s">
        <v>495</v>
      </c>
      <c r="H48" t="s">
        <v>355</v>
      </c>
      <c r="I48" t="s">
        <v>355</v>
      </c>
      <c r="J48" t="s">
        <v>359</v>
      </c>
      <c r="L48">
        <v>1</v>
      </c>
      <c r="M48">
        <v>2</v>
      </c>
      <c r="N48">
        <v>3</v>
      </c>
      <c r="O48">
        <v>4</v>
      </c>
      <c r="P48">
        <v>5</v>
      </c>
      <c r="Q48">
        <v>6</v>
      </c>
      <c r="R48">
        <v>7</v>
      </c>
      <c r="S48" t="s">
        <v>355</v>
      </c>
      <c r="T48" t="s">
        <v>355</v>
      </c>
    </row>
    <row r="49" spans="1:20" x14ac:dyDescent="0.35">
      <c r="A49" t="s">
        <v>84</v>
      </c>
      <c r="B49" s="13">
        <v>5.2525678759831898E-2</v>
      </c>
      <c r="C49">
        <v>6.54</v>
      </c>
      <c r="D49">
        <v>12.3405221339387</v>
      </c>
      <c r="E49" t="s">
        <v>319</v>
      </c>
    </row>
    <row r="50" spans="1:20" x14ac:dyDescent="0.35">
      <c r="A50" t="s">
        <v>103</v>
      </c>
      <c r="B50">
        <v>4.6397484219633631E-5</v>
      </c>
      <c r="C50">
        <v>9.36</v>
      </c>
      <c r="D50">
        <v>7.5070536727744397</v>
      </c>
      <c r="E50" t="s">
        <v>319</v>
      </c>
      <c r="F50" t="s">
        <v>371</v>
      </c>
      <c r="G50" s="15" t="s">
        <v>496</v>
      </c>
      <c r="H50" s="15" t="s">
        <v>373</v>
      </c>
      <c r="I50" t="s">
        <v>373</v>
      </c>
      <c r="J50" t="s">
        <v>434</v>
      </c>
      <c r="L50">
        <v>2</v>
      </c>
      <c r="M50">
        <v>3</v>
      </c>
      <c r="N50">
        <v>4</v>
      </c>
      <c r="O50">
        <v>1</v>
      </c>
      <c r="P50">
        <v>5</v>
      </c>
      <c r="Q50">
        <v>6</v>
      </c>
      <c r="R50">
        <v>7</v>
      </c>
      <c r="S50" t="s">
        <v>373</v>
      </c>
      <c r="T50" t="s">
        <v>373</v>
      </c>
    </row>
    <row r="51" spans="1:20" x14ac:dyDescent="0.35">
      <c r="A51" t="s">
        <v>106</v>
      </c>
      <c r="B51">
        <v>2.556419245388528E-2</v>
      </c>
      <c r="C51">
        <v>0.36</v>
      </c>
      <c r="D51">
        <v>0.67715258634668396</v>
      </c>
      <c r="E51" t="s">
        <v>319</v>
      </c>
      <c r="F51" t="s">
        <v>386</v>
      </c>
      <c r="G51" s="15" t="s">
        <v>373</v>
      </c>
      <c r="H51" t="s">
        <v>355</v>
      </c>
      <c r="I51" t="s">
        <v>355</v>
      </c>
      <c r="J51" t="s">
        <v>365</v>
      </c>
      <c r="L51">
        <v>1</v>
      </c>
      <c r="M51">
        <v>2</v>
      </c>
      <c r="N51">
        <v>4</v>
      </c>
      <c r="O51">
        <v>3</v>
      </c>
      <c r="P51">
        <v>5</v>
      </c>
      <c r="Q51">
        <v>6</v>
      </c>
      <c r="R51">
        <v>7</v>
      </c>
      <c r="S51" t="s">
        <v>355</v>
      </c>
      <c r="T51" t="s">
        <v>355</v>
      </c>
    </row>
    <row r="52" spans="1:20" x14ac:dyDescent="0.35">
      <c r="A52" t="s">
        <v>107</v>
      </c>
      <c r="B52">
        <v>1.30403573194325E-2</v>
      </c>
      <c r="C52">
        <v>3.3</v>
      </c>
      <c r="D52">
        <v>5.2051240473487903</v>
      </c>
      <c r="E52" t="s">
        <v>319</v>
      </c>
      <c r="F52" t="s">
        <v>353</v>
      </c>
      <c r="G52" s="15" t="s">
        <v>497</v>
      </c>
      <c r="H52" s="15" t="s">
        <v>355</v>
      </c>
      <c r="I52" t="s">
        <v>355</v>
      </c>
      <c r="J52" t="s">
        <v>365</v>
      </c>
      <c r="L52">
        <v>1</v>
      </c>
      <c r="M52">
        <v>2</v>
      </c>
      <c r="N52">
        <v>3</v>
      </c>
      <c r="O52">
        <v>6</v>
      </c>
      <c r="P52">
        <v>5</v>
      </c>
      <c r="Q52">
        <v>4</v>
      </c>
      <c r="R52">
        <v>7</v>
      </c>
      <c r="S52" t="s">
        <v>355</v>
      </c>
      <c r="T52" t="s">
        <v>355</v>
      </c>
    </row>
    <row r="53" spans="1:20" x14ac:dyDescent="0.35">
      <c r="A53" t="s">
        <v>108</v>
      </c>
      <c r="B53">
        <v>7.1992432138568352E-4</v>
      </c>
      <c r="C53">
        <v>5.34</v>
      </c>
      <c r="D53">
        <v>8.7017999027079593</v>
      </c>
      <c r="E53" t="s">
        <v>319</v>
      </c>
      <c r="F53" t="s">
        <v>353</v>
      </c>
      <c r="G53" s="15" t="s">
        <v>498</v>
      </c>
      <c r="H53" s="15" t="s">
        <v>397</v>
      </c>
      <c r="I53" t="s">
        <v>397</v>
      </c>
      <c r="J53" t="s">
        <v>380</v>
      </c>
      <c r="L53">
        <v>1</v>
      </c>
      <c r="M53">
        <v>4</v>
      </c>
      <c r="N53">
        <v>6</v>
      </c>
      <c r="O53">
        <v>7</v>
      </c>
      <c r="P53">
        <v>5</v>
      </c>
      <c r="Q53">
        <v>2</v>
      </c>
      <c r="R53">
        <v>3</v>
      </c>
      <c r="S53" t="s">
        <v>499</v>
      </c>
    </row>
    <row r="54" spans="1:20" x14ac:dyDescent="0.35">
      <c r="A54" t="s">
        <v>109</v>
      </c>
      <c r="B54">
        <v>0.24658711849463349</v>
      </c>
      <c r="C54">
        <v>0.53999999999999904</v>
      </c>
      <c r="D54">
        <v>0.86200745905626697</v>
      </c>
      <c r="E54" t="s">
        <v>319</v>
      </c>
      <c r="F54" t="s">
        <v>353</v>
      </c>
      <c r="G54" s="15" t="s">
        <v>500</v>
      </c>
      <c r="H54" t="s">
        <v>387</v>
      </c>
      <c r="I54" t="s">
        <v>387</v>
      </c>
      <c r="J54" t="s">
        <v>365</v>
      </c>
      <c r="L54">
        <v>1</v>
      </c>
      <c r="M54">
        <v>3</v>
      </c>
      <c r="N54">
        <v>2</v>
      </c>
      <c r="O54">
        <v>4</v>
      </c>
      <c r="P54">
        <v>5</v>
      </c>
      <c r="Q54">
        <v>6</v>
      </c>
      <c r="R54">
        <v>7</v>
      </c>
      <c r="S54" t="s">
        <v>387</v>
      </c>
      <c r="T54" t="s">
        <v>387</v>
      </c>
    </row>
    <row r="55" spans="1:20" ht="43.5" x14ac:dyDescent="0.35">
      <c r="A55" t="s">
        <v>110</v>
      </c>
      <c r="B55">
        <v>0.29610755032092251</v>
      </c>
      <c r="C55">
        <v>2.4</v>
      </c>
      <c r="D55">
        <v>3.5745094859737301</v>
      </c>
      <c r="E55" t="s">
        <v>319</v>
      </c>
      <c r="F55" t="s">
        <v>371</v>
      </c>
      <c r="G55" s="15" t="s">
        <v>501</v>
      </c>
      <c r="H55" t="s">
        <v>502</v>
      </c>
      <c r="I55" t="s">
        <v>503</v>
      </c>
      <c r="J55" t="s">
        <v>434</v>
      </c>
      <c r="L55">
        <v>2</v>
      </c>
      <c r="M55">
        <v>7</v>
      </c>
      <c r="N55">
        <v>1</v>
      </c>
      <c r="O55">
        <v>6</v>
      </c>
      <c r="P55">
        <v>3</v>
      </c>
      <c r="Q55">
        <v>5</v>
      </c>
      <c r="R55">
        <v>4</v>
      </c>
      <c r="S55" t="s">
        <v>504</v>
      </c>
      <c r="T55" t="s">
        <v>373</v>
      </c>
    </row>
    <row r="56" spans="1:20" x14ac:dyDescent="0.35">
      <c r="A56" t="s">
        <v>111</v>
      </c>
      <c r="B56">
        <v>7.2176519869655933E-7</v>
      </c>
      <c r="C56">
        <v>1.74</v>
      </c>
      <c r="D56">
        <v>2.50624290578887</v>
      </c>
      <c r="E56" t="s">
        <v>319</v>
      </c>
      <c r="F56" t="s">
        <v>386</v>
      </c>
      <c r="G56" s="15" t="s">
        <v>505</v>
      </c>
      <c r="H56" t="s">
        <v>506</v>
      </c>
      <c r="I56" t="s">
        <v>507</v>
      </c>
      <c r="L56">
        <v>1</v>
      </c>
      <c r="M56">
        <v>3</v>
      </c>
      <c r="N56">
        <v>2</v>
      </c>
      <c r="O56">
        <v>4</v>
      </c>
      <c r="P56">
        <v>5</v>
      </c>
      <c r="Q56">
        <v>7</v>
      </c>
      <c r="R56">
        <v>6</v>
      </c>
      <c r="S56" t="s">
        <v>508</v>
      </c>
      <c r="T56" t="s">
        <v>506</v>
      </c>
    </row>
    <row r="57" spans="1:20" x14ac:dyDescent="0.35">
      <c r="A57" t="s">
        <v>112</v>
      </c>
      <c r="B57">
        <v>1.7102169937474129E-4</v>
      </c>
      <c r="C57">
        <v>0.96</v>
      </c>
      <c r="D57">
        <v>1.4788389816766601</v>
      </c>
      <c r="E57" t="s">
        <v>319</v>
      </c>
      <c r="F57" t="s">
        <v>353</v>
      </c>
      <c r="G57" s="15" t="s">
        <v>509</v>
      </c>
      <c r="H57" t="s">
        <v>355</v>
      </c>
      <c r="I57" t="s">
        <v>355</v>
      </c>
      <c r="J57" t="s">
        <v>380</v>
      </c>
      <c r="L57">
        <v>4</v>
      </c>
      <c r="M57">
        <v>1</v>
      </c>
      <c r="N57">
        <v>3</v>
      </c>
      <c r="O57">
        <v>6</v>
      </c>
      <c r="P57">
        <v>7</v>
      </c>
      <c r="Q57">
        <v>2</v>
      </c>
      <c r="R57">
        <v>5</v>
      </c>
      <c r="S57" t="s">
        <v>355</v>
      </c>
      <c r="T57" t="s">
        <v>355</v>
      </c>
    </row>
    <row r="58" spans="1:20" x14ac:dyDescent="0.35">
      <c r="A58" t="s">
        <v>113</v>
      </c>
      <c r="B58">
        <v>6.2991031408645059E-6</v>
      </c>
      <c r="C58">
        <v>2.76</v>
      </c>
      <c r="D58" s="7">
        <v>3.9403275498621602</v>
      </c>
      <c r="E58" t="s">
        <v>319</v>
      </c>
      <c r="F58" t="s">
        <v>353</v>
      </c>
      <c r="G58" s="15" t="s">
        <v>510</v>
      </c>
      <c r="H58" t="s">
        <v>387</v>
      </c>
      <c r="I58" t="s">
        <v>355</v>
      </c>
      <c r="J58" t="s">
        <v>511</v>
      </c>
      <c r="K58" t="s">
        <v>512</v>
      </c>
      <c r="L58">
        <v>1</v>
      </c>
      <c r="M58">
        <v>2</v>
      </c>
      <c r="N58">
        <v>3</v>
      </c>
      <c r="O58">
        <v>5</v>
      </c>
      <c r="P58">
        <v>7</v>
      </c>
      <c r="Q58">
        <v>4</v>
      </c>
      <c r="R58">
        <v>6</v>
      </c>
      <c r="T58" t="s">
        <v>355</v>
      </c>
    </row>
    <row r="59" spans="1:20" x14ac:dyDescent="0.35">
      <c r="A59" t="s">
        <v>114</v>
      </c>
      <c r="B59">
        <v>0.25965550726966741</v>
      </c>
      <c r="C59">
        <v>1.7999999999999901</v>
      </c>
      <c r="D59">
        <v>2.5821306956380701</v>
      </c>
      <c r="E59" t="s">
        <v>319</v>
      </c>
      <c r="F59" t="s">
        <v>353</v>
      </c>
      <c r="G59" s="15" t="s">
        <v>513</v>
      </c>
      <c r="H59" t="s">
        <v>355</v>
      </c>
      <c r="I59" t="s">
        <v>355</v>
      </c>
      <c r="J59" t="s">
        <v>380</v>
      </c>
      <c r="L59">
        <v>1</v>
      </c>
      <c r="M59">
        <v>5</v>
      </c>
      <c r="N59">
        <v>4</v>
      </c>
      <c r="O59">
        <v>2</v>
      </c>
      <c r="P59">
        <v>3</v>
      </c>
      <c r="Q59">
        <v>7</v>
      </c>
      <c r="R59">
        <v>6</v>
      </c>
      <c r="S59" t="s">
        <v>355</v>
      </c>
      <c r="T59" t="s">
        <v>355</v>
      </c>
    </row>
    <row r="60" spans="1:20" x14ac:dyDescent="0.35">
      <c r="A60" t="s">
        <v>115</v>
      </c>
      <c r="B60">
        <v>3.483449488340057E-8</v>
      </c>
      <c r="C60">
        <v>5.88</v>
      </c>
      <c r="D60">
        <v>6.4154370034052199</v>
      </c>
      <c r="E60" t="s">
        <v>319</v>
      </c>
      <c r="F60" t="s">
        <v>371</v>
      </c>
      <c r="G60" s="15" t="s">
        <v>514</v>
      </c>
      <c r="H60" s="15" t="s">
        <v>361</v>
      </c>
      <c r="I60" t="s">
        <v>361</v>
      </c>
      <c r="J60" t="s">
        <v>368</v>
      </c>
      <c r="K60" t="s">
        <v>515</v>
      </c>
      <c r="L60">
        <v>1</v>
      </c>
      <c r="M60">
        <v>2</v>
      </c>
      <c r="N60">
        <v>5</v>
      </c>
      <c r="O60">
        <v>6</v>
      </c>
      <c r="P60">
        <v>3</v>
      </c>
      <c r="Q60">
        <v>4</v>
      </c>
      <c r="R60">
        <v>7</v>
      </c>
      <c r="S60" t="s">
        <v>516</v>
      </c>
      <c r="T60" t="s">
        <v>517</v>
      </c>
    </row>
    <row r="61" spans="1:20" x14ac:dyDescent="0.35">
      <c r="A61" t="s">
        <v>116</v>
      </c>
      <c r="B61">
        <v>8.5905273398138859E-3</v>
      </c>
      <c r="C61">
        <v>-3.71999999999999</v>
      </c>
      <c r="D61">
        <v>-1.45159721096156</v>
      </c>
      <c r="E61" t="s">
        <v>329</v>
      </c>
      <c r="F61" t="s">
        <v>353</v>
      </c>
      <c r="G61" s="15" t="s">
        <v>518</v>
      </c>
      <c r="H61" t="s">
        <v>408</v>
      </c>
      <c r="I61" t="s">
        <v>408</v>
      </c>
      <c r="J61" t="s">
        <v>365</v>
      </c>
      <c r="L61">
        <v>3</v>
      </c>
      <c r="M61">
        <v>4</v>
      </c>
      <c r="N61">
        <v>2</v>
      </c>
      <c r="O61">
        <v>1</v>
      </c>
      <c r="P61">
        <v>6</v>
      </c>
      <c r="Q61">
        <v>5</v>
      </c>
      <c r="R61">
        <v>7</v>
      </c>
      <c r="S61" t="s">
        <v>519</v>
      </c>
      <c r="T61" t="s">
        <v>520</v>
      </c>
    </row>
    <row r="62" spans="1:20" x14ac:dyDescent="0.35">
      <c r="A62" t="s">
        <v>122</v>
      </c>
      <c r="C62">
        <v>0</v>
      </c>
      <c r="D62">
        <v>0</v>
      </c>
      <c r="E62" t="s">
        <v>328</v>
      </c>
      <c r="F62" t="s">
        <v>386</v>
      </c>
      <c r="G62" s="15" t="s">
        <v>485</v>
      </c>
      <c r="H62" t="s">
        <v>355</v>
      </c>
      <c r="I62" t="s">
        <v>521</v>
      </c>
      <c r="J62" t="s">
        <v>356</v>
      </c>
      <c r="K62" t="s">
        <v>485</v>
      </c>
      <c r="L62">
        <v>2</v>
      </c>
      <c r="M62">
        <v>7</v>
      </c>
      <c r="N62">
        <v>4</v>
      </c>
      <c r="O62">
        <v>6</v>
      </c>
      <c r="P62">
        <v>1</v>
      </c>
      <c r="Q62">
        <v>3</v>
      </c>
      <c r="R62">
        <v>5</v>
      </c>
      <c r="S62" t="s">
        <v>522</v>
      </c>
      <c r="T62" t="s">
        <v>485</v>
      </c>
    </row>
    <row r="63" spans="1:20" x14ac:dyDescent="0.35">
      <c r="A63" t="s">
        <v>117</v>
      </c>
      <c r="B63">
        <v>5.7976867915629582E-7</v>
      </c>
      <c r="C63">
        <v>4.68</v>
      </c>
      <c r="D63">
        <v>5.3335495378628099</v>
      </c>
      <c r="E63" t="s">
        <v>319</v>
      </c>
      <c r="F63" t="s">
        <v>371</v>
      </c>
      <c r="G63" s="15" t="s">
        <v>523</v>
      </c>
      <c r="H63" s="15" t="s">
        <v>355</v>
      </c>
      <c r="I63" t="s">
        <v>355</v>
      </c>
      <c r="J63" t="s">
        <v>409</v>
      </c>
      <c r="K63" t="s">
        <v>524</v>
      </c>
      <c r="L63">
        <v>1</v>
      </c>
      <c r="M63">
        <v>3</v>
      </c>
      <c r="N63">
        <v>2</v>
      </c>
      <c r="O63">
        <v>5</v>
      </c>
      <c r="P63">
        <v>4</v>
      </c>
      <c r="Q63">
        <v>7</v>
      </c>
      <c r="R63">
        <v>6</v>
      </c>
      <c r="S63" t="s">
        <v>387</v>
      </c>
      <c r="T63" t="s">
        <v>387</v>
      </c>
    </row>
    <row r="64" spans="1:20" ht="87" x14ac:dyDescent="0.35">
      <c r="A64" t="s">
        <v>118</v>
      </c>
      <c r="B64">
        <v>0.19833404904084159</v>
      </c>
      <c r="C64">
        <v>1.5599999999999901</v>
      </c>
      <c r="D64">
        <v>3.5433760337278999</v>
      </c>
      <c r="E64" t="s">
        <v>319</v>
      </c>
      <c r="F64" t="s">
        <v>353</v>
      </c>
      <c r="G64" s="15" t="s">
        <v>525</v>
      </c>
      <c r="H64" t="s">
        <v>355</v>
      </c>
      <c r="I64" t="s">
        <v>526</v>
      </c>
      <c r="J64" t="s">
        <v>511</v>
      </c>
      <c r="K64" t="s">
        <v>527</v>
      </c>
      <c r="L64">
        <v>7</v>
      </c>
      <c r="M64">
        <v>3</v>
      </c>
      <c r="N64">
        <v>6</v>
      </c>
      <c r="O64">
        <v>1</v>
      </c>
      <c r="P64">
        <v>5</v>
      </c>
      <c r="Q64">
        <v>2</v>
      </c>
      <c r="R64">
        <v>4</v>
      </c>
      <c r="S64" t="s">
        <v>373</v>
      </c>
      <c r="T64" t="s">
        <v>373</v>
      </c>
    </row>
    <row r="65" spans="1:20" x14ac:dyDescent="0.35">
      <c r="A65" t="s">
        <v>121</v>
      </c>
      <c r="B65">
        <v>1.6841957594308191E-2</v>
      </c>
      <c r="C65">
        <v>0.65999999999999903</v>
      </c>
      <c r="D65">
        <v>0.26074266255877998</v>
      </c>
      <c r="E65" t="s">
        <v>319</v>
      </c>
      <c r="F65" t="s">
        <v>353</v>
      </c>
      <c r="G65" s="15" t="s">
        <v>528</v>
      </c>
      <c r="H65" t="s">
        <v>355</v>
      </c>
      <c r="I65" t="s">
        <v>355</v>
      </c>
      <c r="L65">
        <v>7</v>
      </c>
      <c r="M65">
        <v>5</v>
      </c>
      <c r="N65">
        <v>1</v>
      </c>
      <c r="O65">
        <v>6</v>
      </c>
      <c r="P65">
        <v>3</v>
      </c>
      <c r="Q65">
        <v>2</v>
      </c>
      <c r="R65">
        <v>4</v>
      </c>
      <c r="S65" t="s">
        <v>373</v>
      </c>
      <c r="T65" t="s">
        <v>373</v>
      </c>
    </row>
    <row r="66" spans="1:20" ht="29" x14ac:dyDescent="0.35">
      <c r="A66" t="s">
        <v>123</v>
      </c>
      <c r="B66">
        <v>5.3610611419401422E-3</v>
      </c>
      <c r="C66">
        <v>0.96</v>
      </c>
      <c r="D66">
        <v>0.88535754824063495</v>
      </c>
      <c r="E66" t="s">
        <v>319</v>
      </c>
      <c r="F66" t="s">
        <v>371</v>
      </c>
      <c r="G66" s="15" t="s">
        <v>529</v>
      </c>
      <c r="H66" t="s">
        <v>355</v>
      </c>
      <c r="I66" t="s">
        <v>355</v>
      </c>
      <c r="J66" t="s">
        <v>359</v>
      </c>
      <c r="L66">
        <v>1</v>
      </c>
      <c r="M66">
        <v>3</v>
      </c>
      <c r="N66">
        <v>2</v>
      </c>
      <c r="O66">
        <v>4</v>
      </c>
      <c r="P66">
        <v>5</v>
      </c>
      <c r="Q66">
        <v>7</v>
      </c>
      <c r="R66">
        <v>6</v>
      </c>
      <c r="T66" t="s">
        <v>530</v>
      </c>
    </row>
    <row r="67" spans="1:20" x14ac:dyDescent="0.35">
      <c r="A67" t="s">
        <v>124</v>
      </c>
      <c r="B67">
        <v>7.6928888433033641E-4</v>
      </c>
      <c r="C67">
        <v>7.62</v>
      </c>
      <c r="D67">
        <v>10.2292849035187</v>
      </c>
      <c r="E67" t="s">
        <v>319</v>
      </c>
      <c r="F67" t="s">
        <v>371</v>
      </c>
      <c r="G67" s="15" t="s">
        <v>488</v>
      </c>
      <c r="H67" s="15" t="s">
        <v>355</v>
      </c>
      <c r="I67" t="s">
        <v>355</v>
      </c>
      <c r="J67" t="s">
        <v>359</v>
      </c>
      <c r="L67">
        <v>4</v>
      </c>
      <c r="M67">
        <v>5</v>
      </c>
      <c r="N67">
        <v>2</v>
      </c>
      <c r="O67">
        <v>6</v>
      </c>
      <c r="P67">
        <v>3</v>
      </c>
      <c r="Q67">
        <v>7</v>
      </c>
      <c r="R67">
        <v>1</v>
      </c>
      <c r="S67" t="s">
        <v>485</v>
      </c>
      <c r="T67" t="s">
        <v>485</v>
      </c>
    </row>
    <row r="68" spans="1:20" x14ac:dyDescent="0.35">
      <c r="A68" t="s">
        <v>125</v>
      </c>
      <c r="B68">
        <v>4.3357643088145117E-2</v>
      </c>
      <c r="C68">
        <v>-0.42</v>
      </c>
      <c r="D68">
        <v>-0.192638235771039</v>
      </c>
      <c r="E68" t="s">
        <v>329</v>
      </c>
      <c r="F68" t="s">
        <v>353</v>
      </c>
      <c r="G68" s="15" t="s">
        <v>531</v>
      </c>
      <c r="H68" t="s">
        <v>355</v>
      </c>
      <c r="I68" t="s">
        <v>355</v>
      </c>
      <c r="J68" t="s">
        <v>356</v>
      </c>
      <c r="K68" t="s">
        <v>532</v>
      </c>
      <c r="L68">
        <v>5</v>
      </c>
      <c r="M68">
        <v>3</v>
      </c>
      <c r="N68">
        <v>6</v>
      </c>
      <c r="O68">
        <v>2</v>
      </c>
      <c r="P68">
        <v>1</v>
      </c>
      <c r="Q68">
        <v>7</v>
      </c>
      <c r="R68">
        <v>4</v>
      </c>
      <c r="S68" t="s">
        <v>373</v>
      </c>
      <c r="T68" t="s">
        <v>373</v>
      </c>
    </row>
    <row r="69" spans="1:20" x14ac:dyDescent="0.35">
      <c r="A69" t="s">
        <v>127</v>
      </c>
      <c r="C69">
        <v>0</v>
      </c>
      <c r="D69">
        <v>0</v>
      </c>
      <c r="E69" t="s">
        <v>328</v>
      </c>
      <c r="F69" t="s">
        <v>386</v>
      </c>
      <c r="G69" s="15" t="s">
        <v>533</v>
      </c>
      <c r="H69" t="s">
        <v>534</v>
      </c>
      <c r="I69" t="s">
        <v>534</v>
      </c>
      <c r="J69" t="s">
        <v>359</v>
      </c>
      <c r="L69">
        <v>1</v>
      </c>
      <c r="M69">
        <v>3</v>
      </c>
      <c r="N69">
        <v>7</v>
      </c>
      <c r="O69">
        <v>2</v>
      </c>
      <c r="P69">
        <v>5</v>
      </c>
      <c r="Q69">
        <v>6</v>
      </c>
      <c r="R69">
        <v>4</v>
      </c>
      <c r="S69" t="s">
        <v>461</v>
      </c>
      <c r="T69" t="s">
        <v>461</v>
      </c>
    </row>
    <row r="70" spans="1:20" x14ac:dyDescent="0.35">
      <c r="A70" t="s">
        <v>128</v>
      </c>
      <c r="B70">
        <v>6.8621010883845257E-2</v>
      </c>
      <c r="C70">
        <v>0.12</v>
      </c>
      <c r="D70">
        <v>-1.75125668882763E-2</v>
      </c>
      <c r="E70" t="s">
        <v>319</v>
      </c>
      <c r="F70" t="s">
        <v>353</v>
      </c>
      <c r="G70" s="15" t="s">
        <v>535</v>
      </c>
      <c r="H70" t="s">
        <v>355</v>
      </c>
      <c r="I70" t="s">
        <v>355</v>
      </c>
      <c r="J70" t="s">
        <v>380</v>
      </c>
      <c r="L70">
        <v>2</v>
      </c>
      <c r="M70">
        <v>5</v>
      </c>
      <c r="N70">
        <v>3</v>
      </c>
      <c r="O70">
        <v>4</v>
      </c>
      <c r="P70">
        <v>1</v>
      </c>
      <c r="Q70">
        <v>7</v>
      </c>
      <c r="R70">
        <v>6</v>
      </c>
      <c r="S70" t="s">
        <v>373</v>
      </c>
      <c r="T70" t="s">
        <v>536</v>
      </c>
    </row>
    <row r="71" spans="1:20" x14ac:dyDescent="0.35">
      <c r="A71" t="s">
        <v>129</v>
      </c>
      <c r="B71">
        <v>0.75013989016567761</v>
      </c>
      <c r="C71">
        <v>-0.24</v>
      </c>
      <c r="D71">
        <v>1.78433598183881</v>
      </c>
      <c r="E71" t="s">
        <v>329</v>
      </c>
      <c r="F71" t="s">
        <v>371</v>
      </c>
      <c r="G71" s="15" t="s">
        <v>537</v>
      </c>
      <c r="H71" t="s">
        <v>397</v>
      </c>
      <c r="I71" t="s">
        <v>397</v>
      </c>
      <c r="J71" t="s">
        <v>359</v>
      </c>
      <c r="L71">
        <v>4</v>
      </c>
      <c r="M71">
        <v>1</v>
      </c>
      <c r="N71">
        <v>2</v>
      </c>
      <c r="O71">
        <v>7</v>
      </c>
      <c r="P71">
        <v>6</v>
      </c>
      <c r="Q71">
        <v>5</v>
      </c>
      <c r="R71">
        <v>3</v>
      </c>
      <c r="S71" t="s">
        <v>538</v>
      </c>
      <c r="T71" t="s">
        <v>539</v>
      </c>
    </row>
    <row r="72" spans="1:20" x14ac:dyDescent="0.35">
      <c r="A72" t="s">
        <v>130</v>
      </c>
      <c r="B72" s="13">
        <v>8.6702882897152958E-2</v>
      </c>
      <c r="C72">
        <v>1.2</v>
      </c>
      <c r="D72">
        <v>0.99627047186638495</v>
      </c>
      <c r="E72" t="s">
        <v>319</v>
      </c>
      <c r="F72" t="s">
        <v>353</v>
      </c>
      <c r="G72" s="15" t="s">
        <v>542</v>
      </c>
      <c r="H72" t="s">
        <v>543</v>
      </c>
      <c r="I72" t="s">
        <v>355</v>
      </c>
      <c r="L72">
        <v>3</v>
      </c>
      <c r="M72">
        <v>2</v>
      </c>
      <c r="N72">
        <v>1</v>
      </c>
      <c r="O72">
        <v>6</v>
      </c>
      <c r="P72">
        <v>4</v>
      </c>
      <c r="Q72">
        <v>5</v>
      </c>
      <c r="R72">
        <v>7</v>
      </c>
      <c r="S72" t="s">
        <v>355</v>
      </c>
      <c r="T72" t="s">
        <v>355</v>
      </c>
    </row>
    <row r="73" spans="1:20" ht="29" x14ac:dyDescent="0.35">
      <c r="A73" t="s">
        <v>131</v>
      </c>
      <c r="B73">
        <v>8.0764005760582564E-7</v>
      </c>
      <c r="C73">
        <v>2.2799999999999998</v>
      </c>
      <c r="D73">
        <v>2.0119993513864101</v>
      </c>
      <c r="E73" t="s">
        <v>319</v>
      </c>
      <c r="F73" t="s">
        <v>353</v>
      </c>
      <c r="G73" s="15" t="s">
        <v>544</v>
      </c>
      <c r="H73" t="s">
        <v>355</v>
      </c>
      <c r="I73" t="s">
        <v>355</v>
      </c>
      <c r="J73" t="s">
        <v>365</v>
      </c>
      <c r="L73">
        <v>1</v>
      </c>
      <c r="M73">
        <v>3</v>
      </c>
      <c r="N73">
        <v>2</v>
      </c>
      <c r="O73">
        <v>5</v>
      </c>
      <c r="P73">
        <v>6</v>
      </c>
      <c r="Q73">
        <v>4</v>
      </c>
      <c r="R73">
        <v>7</v>
      </c>
      <c r="S73" t="s">
        <v>355</v>
      </c>
      <c r="T73" t="s">
        <v>355</v>
      </c>
    </row>
    <row r="74" spans="1:20" x14ac:dyDescent="0.35">
      <c r="A74" t="s">
        <v>133</v>
      </c>
      <c r="B74" s="13">
        <v>0.25452180396991769</v>
      </c>
      <c r="C74">
        <v>2.5799999999999899</v>
      </c>
      <c r="D74" s="7">
        <v>4.3606291551807903</v>
      </c>
      <c r="E74" t="s">
        <v>319</v>
      </c>
      <c r="F74" t="s">
        <v>353</v>
      </c>
      <c r="G74" s="15" t="s">
        <v>545</v>
      </c>
      <c r="H74" t="s">
        <v>355</v>
      </c>
      <c r="I74" t="s">
        <v>546</v>
      </c>
      <c r="J74" t="s">
        <v>380</v>
      </c>
      <c r="L74">
        <v>4</v>
      </c>
      <c r="M74">
        <v>1</v>
      </c>
      <c r="N74">
        <v>7</v>
      </c>
      <c r="O74">
        <v>5</v>
      </c>
      <c r="P74">
        <v>2</v>
      </c>
      <c r="Q74">
        <v>6</v>
      </c>
      <c r="R74">
        <v>3</v>
      </c>
      <c r="S74" t="s">
        <v>355</v>
      </c>
      <c r="T74" t="s">
        <v>547</v>
      </c>
    </row>
    <row r="75" spans="1:20" x14ac:dyDescent="0.35">
      <c r="A75" t="s">
        <v>134</v>
      </c>
      <c r="B75" s="13">
        <v>0.13753300683056571</v>
      </c>
      <c r="C75">
        <v>5.76</v>
      </c>
      <c r="D75">
        <v>4.4618128749797297</v>
      </c>
      <c r="E75" t="s">
        <v>319</v>
      </c>
      <c r="F75" t="s">
        <v>353</v>
      </c>
      <c r="G75" s="15" t="s">
        <v>548</v>
      </c>
      <c r="H75" s="15" t="s">
        <v>355</v>
      </c>
      <c r="I75" t="s">
        <v>355</v>
      </c>
      <c r="J75" t="s">
        <v>356</v>
      </c>
      <c r="K75" t="s">
        <v>549</v>
      </c>
      <c r="L75">
        <v>6</v>
      </c>
      <c r="M75">
        <v>3</v>
      </c>
      <c r="N75">
        <v>1</v>
      </c>
      <c r="O75">
        <v>4</v>
      </c>
      <c r="P75">
        <v>5</v>
      </c>
      <c r="Q75">
        <v>2</v>
      </c>
      <c r="R75">
        <v>7</v>
      </c>
      <c r="S75" t="s">
        <v>550</v>
      </c>
      <c r="T75" t="s">
        <v>551</v>
      </c>
    </row>
    <row r="76" spans="1:20" ht="43.5" x14ac:dyDescent="0.35">
      <c r="A76" t="s">
        <v>135</v>
      </c>
      <c r="B76">
        <v>1.44958583133369E-2</v>
      </c>
      <c r="C76">
        <v>0.96</v>
      </c>
      <c r="D76">
        <v>-0.58180638884384595</v>
      </c>
      <c r="E76" t="s">
        <v>319</v>
      </c>
      <c r="F76" t="s">
        <v>371</v>
      </c>
      <c r="G76" s="15" t="s">
        <v>552</v>
      </c>
      <c r="H76" t="s">
        <v>553</v>
      </c>
      <c r="I76" t="s">
        <v>554</v>
      </c>
      <c r="J76" t="s">
        <v>434</v>
      </c>
      <c r="L76">
        <v>2</v>
      </c>
      <c r="M76">
        <v>3</v>
      </c>
      <c r="N76">
        <v>1</v>
      </c>
      <c r="O76">
        <v>5</v>
      </c>
      <c r="P76">
        <v>6</v>
      </c>
      <c r="Q76">
        <v>4</v>
      </c>
      <c r="R76">
        <v>7</v>
      </c>
      <c r="S76" t="s">
        <v>555</v>
      </c>
      <c r="T76" t="s">
        <v>556</v>
      </c>
    </row>
    <row r="77" spans="1:20" ht="29" x14ac:dyDescent="0.35">
      <c r="A77" t="s">
        <v>136</v>
      </c>
      <c r="B77">
        <v>7.6593799736447818E-5</v>
      </c>
      <c r="C77">
        <v>1.2</v>
      </c>
      <c r="D77">
        <v>1.09161666936922</v>
      </c>
      <c r="E77" t="s">
        <v>319</v>
      </c>
      <c r="F77" t="s">
        <v>353</v>
      </c>
      <c r="G77" s="15" t="s">
        <v>557</v>
      </c>
      <c r="H77" t="s">
        <v>355</v>
      </c>
      <c r="I77" t="s">
        <v>355</v>
      </c>
      <c r="J77" t="s">
        <v>365</v>
      </c>
      <c r="L77">
        <v>7</v>
      </c>
      <c r="M77">
        <v>2</v>
      </c>
      <c r="N77">
        <v>3</v>
      </c>
      <c r="O77">
        <v>6</v>
      </c>
      <c r="P77">
        <v>4</v>
      </c>
      <c r="Q77">
        <v>1</v>
      </c>
      <c r="R77">
        <v>5</v>
      </c>
      <c r="S77" t="s">
        <v>558</v>
      </c>
      <c r="T77" t="s">
        <v>559</v>
      </c>
    </row>
    <row r="78" spans="1:20" x14ac:dyDescent="0.35">
      <c r="A78" t="s">
        <v>137</v>
      </c>
      <c r="B78">
        <v>1.062932152084867E-2</v>
      </c>
      <c r="C78">
        <v>2.21999999999999</v>
      </c>
      <c r="D78">
        <v>3.2806875304037599</v>
      </c>
      <c r="E78" t="s">
        <v>319</v>
      </c>
      <c r="F78" t="s">
        <v>353</v>
      </c>
      <c r="G78" s="15" t="s">
        <v>560</v>
      </c>
      <c r="H78" t="s">
        <v>561</v>
      </c>
      <c r="I78" t="s">
        <v>562</v>
      </c>
      <c r="J78" t="s">
        <v>356</v>
      </c>
      <c r="K78" t="s">
        <v>563</v>
      </c>
      <c r="L78">
        <v>2</v>
      </c>
      <c r="M78">
        <v>1</v>
      </c>
      <c r="N78">
        <v>3</v>
      </c>
      <c r="O78">
        <v>4</v>
      </c>
      <c r="P78">
        <v>5</v>
      </c>
      <c r="Q78">
        <v>6</v>
      </c>
      <c r="R78">
        <v>7</v>
      </c>
      <c r="S78" t="s">
        <v>564</v>
      </c>
      <c r="T78" t="s">
        <v>565</v>
      </c>
    </row>
    <row r="79" spans="1:20" x14ac:dyDescent="0.35">
      <c r="A79" t="s">
        <v>138</v>
      </c>
      <c r="B79">
        <v>7.683941250480987E-2</v>
      </c>
      <c r="C79">
        <v>0.48</v>
      </c>
      <c r="D79">
        <v>0.52537700664828901</v>
      </c>
      <c r="E79" t="s">
        <v>319</v>
      </c>
      <c r="F79" t="s">
        <v>353</v>
      </c>
      <c r="G79" s="15" t="s">
        <v>566</v>
      </c>
      <c r="H79" t="s">
        <v>355</v>
      </c>
      <c r="I79" t="s">
        <v>355</v>
      </c>
      <c r="J79" t="s">
        <v>380</v>
      </c>
      <c r="L79">
        <v>2</v>
      </c>
      <c r="M79">
        <v>1</v>
      </c>
      <c r="N79">
        <v>3</v>
      </c>
      <c r="O79">
        <v>5</v>
      </c>
      <c r="P79">
        <v>4</v>
      </c>
      <c r="Q79">
        <v>7</v>
      </c>
      <c r="R79">
        <v>6</v>
      </c>
      <c r="S79" t="s">
        <v>355</v>
      </c>
      <c r="T79" t="s">
        <v>355</v>
      </c>
    </row>
    <row r="80" spans="1:20" x14ac:dyDescent="0.35">
      <c r="A80" t="s">
        <v>139</v>
      </c>
      <c r="B80">
        <v>0.87170103555661982</v>
      </c>
      <c r="C80">
        <v>0.89999999999999902</v>
      </c>
      <c r="D80">
        <v>1.9419490838333</v>
      </c>
      <c r="E80" t="s">
        <v>319</v>
      </c>
      <c r="F80" t="s">
        <v>353</v>
      </c>
      <c r="G80" s="15" t="s">
        <v>567</v>
      </c>
      <c r="H80" t="s">
        <v>568</v>
      </c>
      <c r="I80" t="s">
        <v>568</v>
      </c>
      <c r="J80" t="s">
        <v>380</v>
      </c>
      <c r="L80">
        <v>4</v>
      </c>
      <c r="M80">
        <v>1</v>
      </c>
      <c r="N80">
        <v>3</v>
      </c>
      <c r="O80">
        <v>6</v>
      </c>
      <c r="P80">
        <v>7</v>
      </c>
      <c r="Q80">
        <v>2</v>
      </c>
      <c r="R80">
        <v>5</v>
      </c>
      <c r="S80" t="s">
        <v>569</v>
      </c>
      <c r="T80" t="s">
        <v>457</v>
      </c>
    </row>
    <row r="81" spans="1:20" x14ac:dyDescent="0.35">
      <c r="A81" t="s">
        <v>140</v>
      </c>
      <c r="B81" s="13">
        <v>0.31965333817760899</v>
      </c>
      <c r="C81">
        <v>2.4</v>
      </c>
      <c r="D81" s="7">
        <v>4.3100372952813304</v>
      </c>
      <c r="E81" t="s">
        <v>319</v>
      </c>
      <c r="F81" t="s">
        <v>371</v>
      </c>
      <c r="G81" s="15" t="s">
        <v>570</v>
      </c>
      <c r="H81" t="s">
        <v>355</v>
      </c>
      <c r="I81" t="s">
        <v>355</v>
      </c>
      <c r="J81" t="s">
        <v>380</v>
      </c>
      <c r="L81">
        <v>2</v>
      </c>
      <c r="M81">
        <v>1</v>
      </c>
      <c r="N81">
        <v>5</v>
      </c>
      <c r="O81">
        <v>4</v>
      </c>
      <c r="P81">
        <v>3</v>
      </c>
      <c r="Q81">
        <v>7</v>
      </c>
      <c r="R81">
        <v>6</v>
      </c>
      <c r="S81" t="s">
        <v>355</v>
      </c>
      <c r="T81" t="s">
        <v>355</v>
      </c>
    </row>
    <row r="82" spans="1:20" x14ac:dyDescent="0.35">
      <c r="A82" t="s">
        <v>141</v>
      </c>
      <c r="B82">
        <v>0.80788565951214475</v>
      </c>
      <c r="C82">
        <v>0.12</v>
      </c>
      <c r="D82">
        <v>0.14982973893303</v>
      </c>
      <c r="E82" t="s">
        <v>319</v>
      </c>
      <c r="F82" t="s">
        <v>353</v>
      </c>
      <c r="G82" s="15" t="s">
        <v>571</v>
      </c>
      <c r="H82" t="s">
        <v>355</v>
      </c>
      <c r="I82" t="s">
        <v>355</v>
      </c>
      <c r="J82" t="s">
        <v>356</v>
      </c>
      <c r="K82" t="s">
        <v>571</v>
      </c>
      <c r="L82">
        <v>5</v>
      </c>
      <c r="M82">
        <v>6</v>
      </c>
      <c r="N82">
        <v>1</v>
      </c>
      <c r="O82">
        <v>2</v>
      </c>
      <c r="P82">
        <v>3</v>
      </c>
      <c r="Q82">
        <v>7</v>
      </c>
      <c r="R82">
        <v>4</v>
      </c>
      <c r="S82" t="s">
        <v>572</v>
      </c>
      <c r="T82" t="s">
        <v>573</v>
      </c>
    </row>
    <row r="83" spans="1:20" x14ac:dyDescent="0.35">
      <c r="A83" t="s">
        <v>142</v>
      </c>
      <c r="B83">
        <v>0.23853158831283761</v>
      </c>
      <c r="C83">
        <v>0.48</v>
      </c>
      <c r="D83">
        <v>0.34635965623479797</v>
      </c>
      <c r="E83" t="s">
        <v>319</v>
      </c>
      <c r="F83" t="s">
        <v>353</v>
      </c>
      <c r="G83" s="15" t="s">
        <v>574</v>
      </c>
      <c r="H83" t="s">
        <v>355</v>
      </c>
      <c r="I83" t="s">
        <v>355</v>
      </c>
      <c r="J83" t="s">
        <v>380</v>
      </c>
      <c r="L83">
        <v>1</v>
      </c>
      <c r="M83">
        <v>2</v>
      </c>
      <c r="N83">
        <v>3</v>
      </c>
      <c r="O83">
        <v>5</v>
      </c>
      <c r="P83">
        <v>4</v>
      </c>
      <c r="Q83">
        <v>7</v>
      </c>
      <c r="R83">
        <v>6</v>
      </c>
      <c r="S83" t="s">
        <v>355</v>
      </c>
      <c r="T83" t="s">
        <v>355</v>
      </c>
    </row>
    <row r="84" spans="1:20" x14ac:dyDescent="0.35">
      <c r="A84" t="s">
        <v>143</v>
      </c>
      <c r="B84">
        <v>4.8493942997082538E-5</v>
      </c>
      <c r="C84">
        <v>3</v>
      </c>
      <c r="D84" s="7">
        <v>4.3684125182422502</v>
      </c>
      <c r="E84" t="s">
        <v>319</v>
      </c>
      <c r="F84" t="s">
        <v>353</v>
      </c>
      <c r="G84" s="15" t="s">
        <v>575</v>
      </c>
      <c r="H84" t="s">
        <v>355</v>
      </c>
      <c r="I84" t="s">
        <v>355</v>
      </c>
      <c r="J84" t="s">
        <v>356</v>
      </c>
      <c r="K84" t="s">
        <v>576</v>
      </c>
      <c r="L84">
        <v>1</v>
      </c>
      <c r="M84">
        <v>4</v>
      </c>
      <c r="N84">
        <v>6</v>
      </c>
      <c r="O84">
        <v>3</v>
      </c>
      <c r="P84">
        <v>5</v>
      </c>
      <c r="Q84">
        <v>2</v>
      </c>
      <c r="R84">
        <v>7</v>
      </c>
      <c r="S84" t="s">
        <v>393</v>
      </c>
      <c r="T84" t="s">
        <v>577</v>
      </c>
    </row>
    <row r="85" spans="1:20" ht="29" customHeight="1" x14ac:dyDescent="0.35">
      <c r="A85" t="s">
        <v>145</v>
      </c>
      <c r="B85" s="13">
        <v>0.20098555396521281</v>
      </c>
      <c r="C85">
        <v>3.78</v>
      </c>
      <c r="D85">
        <v>5.53591697746067</v>
      </c>
      <c r="E85" t="s">
        <v>319</v>
      </c>
      <c r="F85" t="s">
        <v>353</v>
      </c>
      <c r="G85" s="15" t="s">
        <v>893</v>
      </c>
      <c r="H85" s="15" t="s">
        <v>355</v>
      </c>
      <c r="I85" t="s">
        <v>355</v>
      </c>
      <c r="J85" t="s">
        <v>380</v>
      </c>
      <c r="L85">
        <v>2</v>
      </c>
      <c r="M85">
        <v>1</v>
      </c>
      <c r="N85">
        <v>5</v>
      </c>
      <c r="O85">
        <v>6</v>
      </c>
      <c r="P85">
        <v>7</v>
      </c>
      <c r="Q85">
        <v>3</v>
      </c>
      <c r="R85">
        <v>4</v>
      </c>
      <c r="S85" t="s">
        <v>578</v>
      </c>
      <c r="T85" t="s">
        <v>579</v>
      </c>
    </row>
    <row r="86" spans="1:20" x14ac:dyDescent="0.35">
      <c r="A86" t="s">
        <v>146</v>
      </c>
      <c r="B86">
        <v>0.41837002960967867</v>
      </c>
      <c r="C86">
        <v>0.53999999999999904</v>
      </c>
      <c r="D86">
        <v>0.97681206421274502</v>
      </c>
      <c r="E86" t="s">
        <v>319</v>
      </c>
      <c r="F86" t="s">
        <v>371</v>
      </c>
      <c r="G86" s="15" t="s">
        <v>580</v>
      </c>
      <c r="H86" t="s">
        <v>373</v>
      </c>
      <c r="I86" t="s">
        <v>373</v>
      </c>
      <c r="J86" t="s">
        <v>380</v>
      </c>
      <c r="L86">
        <v>5</v>
      </c>
      <c r="M86">
        <v>6</v>
      </c>
      <c r="N86">
        <v>2</v>
      </c>
      <c r="O86">
        <v>1</v>
      </c>
      <c r="P86">
        <v>3</v>
      </c>
      <c r="Q86">
        <v>4</v>
      </c>
      <c r="R86">
        <v>7</v>
      </c>
      <c r="S86" t="s">
        <v>581</v>
      </c>
      <c r="T86" t="s">
        <v>582</v>
      </c>
    </row>
    <row r="87" spans="1:20" x14ac:dyDescent="0.35">
      <c r="A87" t="s">
        <v>148</v>
      </c>
      <c r="C87">
        <v>0</v>
      </c>
      <c r="D87">
        <v>0</v>
      </c>
      <c r="E87" t="s">
        <v>328</v>
      </c>
      <c r="F87" t="s">
        <v>386</v>
      </c>
      <c r="G87" s="15" t="s">
        <v>583</v>
      </c>
      <c r="H87" t="s">
        <v>355</v>
      </c>
      <c r="I87" t="s">
        <v>355</v>
      </c>
      <c r="J87" t="s">
        <v>380</v>
      </c>
      <c r="L87">
        <v>1</v>
      </c>
      <c r="M87">
        <v>7</v>
      </c>
      <c r="N87">
        <v>4</v>
      </c>
      <c r="O87">
        <v>6</v>
      </c>
      <c r="P87">
        <v>5</v>
      </c>
      <c r="Q87">
        <v>2</v>
      </c>
      <c r="R87">
        <v>3</v>
      </c>
      <c r="S87" t="s">
        <v>584</v>
      </c>
      <c r="T87" t="s">
        <v>355</v>
      </c>
    </row>
    <row r="88" spans="1:20" x14ac:dyDescent="0.35">
      <c r="A88" t="s">
        <v>150</v>
      </c>
      <c r="B88">
        <v>4.795267096013808E-5</v>
      </c>
      <c r="C88">
        <v>5.0999999999999996</v>
      </c>
      <c r="D88">
        <v>6.8941138316847699</v>
      </c>
      <c r="E88" t="s">
        <v>319</v>
      </c>
      <c r="F88" t="s">
        <v>386</v>
      </c>
      <c r="G88" s="15" t="s">
        <v>393</v>
      </c>
      <c r="H88" s="15" t="s">
        <v>393</v>
      </c>
      <c r="I88" t="s">
        <v>585</v>
      </c>
      <c r="L88">
        <v>3</v>
      </c>
      <c r="M88">
        <v>5</v>
      </c>
      <c r="N88">
        <v>2</v>
      </c>
      <c r="O88">
        <v>7</v>
      </c>
      <c r="P88">
        <v>1</v>
      </c>
      <c r="Q88">
        <v>4</v>
      </c>
      <c r="R88">
        <v>6</v>
      </c>
      <c r="S88" t="s">
        <v>586</v>
      </c>
    </row>
    <row r="89" spans="1:20" ht="29" x14ac:dyDescent="0.35">
      <c r="A89" t="s">
        <v>152</v>
      </c>
      <c r="B89">
        <v>4.0950619647273652E-2</v>
      </c>
      <c r="C89">
        <v>3</v>
      </c>
      <c r="D89">
        <v>2.8837360142694899</v>
      </c>
      <c r="E89" t="s">
        <v>319</v>
      </c>
      <c r="F89" t="s">
        <v>353</v>
      </c>
      <c r="G89" s="15" t="s">
        <v>587</v>
      </c>
      <c r="H89" t="s">
        <v>355</v>
      </c>
      <c r="I89" t="s">
        <v>355</v>
      </c>
      <c r="J89" t="s">
        <v>356</v>
      </c>
      <c r="K89" t="s">
        <v>355</v>
      </c>
      <c r="L89">
        <v>6</v>
      </c>
      <c r="M89">
        <v>1</v>
      </c>
      <c r="N89">
        <v>2</v>
      </c>
      <c r="O89">
        <v>4</v>
      </c>
      <c r="P89">
        <v>5</v>
      </c>
      <c r="Q89">
        <v>3</v>
      </c>
      <c r="R89">
        <v>7</v>
      </c>
      <c r="S89" t="s">
        <v>355</v>
      </c>
      <c r="T89" t="s">
        <v>588</v>
      </c>
    </row>
    <row r="90" spans="1:20" x14ac:dyDescent="0.35">
      <c r="A90" t="s">
        <v>153</v>
      </c>
      <c r="B90">
        <v>0.80167680911631523</v>
      </c>
      <c r="C90">
        <v>0</v>
      </c>
      <c r="D90">
        <v>0</v>
      </c>
      <c r="E90" t="s">
        <v>328</v>
      </c>
      <c r="F90" t="s">
        <v>353</v>
      </c>
      <c r="G90" s="15" t="s">
        <v>589</v>
      </c>
      <c r="H90" t="s">
        <v>355</v>
      </c>
      <c r="I90" t="s">
        <v>355</v>
      </c>
      <c r="J90" t="s">
        <v>380</v>
      </c>
      <c r="L90">
        <v>7</v>
      </c>
      <c r="M90">
        <v>2</v>
      </c>
      <c r="N90">
        <v>3</v>
      </c>
      <c r="O90">
        <v>4</v>
      </c>
      <c r="P90">
        <v>5</v>
      </c>
      <c r="Q90">
        <v>1</v>
      </c>
      <c r="R90">
        <v>6</v>
      </c>
      <c r="S90" t="s">
        <v>355</v>
      </c>
      <c r="T90" t="s">
        <v>590</v>
      </c>
    </row>
    <row r="91" spans="1:20" x14ac:dyDescent="0.35">
      <c r="A91" t="s">
        <v>154</v>
      </c>
      <c r="B91">
        <v>0.68876200748351946</v>
      </c>
      <c r="C91">
        <v>0.48</v>
      </c>
      <c r="D91">
        <v>0.52732284741365298</v>
      </c>
      <c r="E91" t="s">
        <v>319</v>
      </c>
      <c r="F91" t="s">
        <v>353</v>
      </c>
      <c r="G91" s="15" t="s">
        <v>591</v>
      </c>
      <c r="H91" t="s">
        <v>355</v>
      </c>
      <c r="I91" t="s">
        <v>355</v>
      </c>
      <c r="J91" t="s">
        <v>356</v>
      </c>
      <c r="K91" t="s">
        <v>592</v>
      </c>
      <c r="L91">
        <v>3</v>
      </c>
      <c r="M91">
        <v>2</v>
      </c>
      <c r="N91">
        <v>1</v>
      </c>
      <c r="O91">
        <v>7</v>
      </c>
      <c r="P91">
        <v>5</v>
      </c>
      <c r="Q91">
        <v>6</v>
      </c>
      <c r="R91">
        <v>4</v>
      </c>
      <c r="S91" t="s">
        <v>593</v>
      </c>
      <c r="T91" t="s">
        <v>355</v>
      </c>
    </row>
    <row r="92" spans="1:20" x14ac:dyDescent="0.35">
      <c r="A92" t="s">
        <v>156</v>
      </c>
      <c r="B92">
        <v>0.43237872607854599</v>
      </c>
      <c r="C92">
        <v>0</v>
      </c>
      <c r="D92">
        <v>0.157613101994486</v>
      </c>
      <c r="E92" t="s">
        <v>328</v>
      </c>
      <c r="F92" t="s">
        <v>353</v>
      </c>
      <c r="G92" s="15" t="s">
        <v>594</v>
      </c>
      <c r="H92" t="s">
        <v>355</v>
      </c>
      <c r="I92" t="s">
        <v>355</v>
      </c>
      <c r="J92" t="s">
        <v>541</v>
      </c>
      <c r="L92">
        <v>1</v>
      </c>
      <c r="M92">
        <v>2</v>
      </c>
      <c r="N92">
        <v>5</v>
      </c>
      <c r="O92">
        <v>4</v>
      </c>
      <c r="P92">
        <v>6</v>
      </c>
      <c r="Q92">
        <v>3</v>
      </c>
      <c r="R92">
        <v>7</v>
      </c>
      <c r="S92" t="s">
        <v>355</v>
      </c>
      <c r="T92" t="s">
        <v>595</v>
      </c>
    </row>
    <row r="93" spans="1:20" x14ac:dyDescent="0.35">
      <c r="A93" t="s">
        <v>157</v>
      </c>
      <c r="B93">
        <v>2.2495683115809829E-7</v>
      </c>
      <c r="C93">
        <v>5.04</v>
      </c>
      <c r="D93">
        <v>5.5689962704718603</v>
      </c>
      <c r="E93" t="s">
        <v>319</v>
      </c>
      <c r="F93" t="s">
        <v>353</v>
      </c>
      <c r="G93" s="15" t="s">
        <v>596</v>
      </c>
      <c r="H93" s="15" t="s">
        <v>481</v>
      </c>
      <c r="I93" t="s">
        <v>355</v>
      </c>
      <c r="J93" t="s">
        <v>359</v>
      </c>
      <c r="L93">
        <v>6</v>
      </c>
      <c r="M93">
        <v>2</v>
      </c>
      <c r="N93">
        <v>4</v>
      </c>
      <c r="O93">
        <v>7</v>
      </c>
      <c r="P93">
        <v>5</v>
      </c>
      <c r="Q93">
        <v>1</v>
      </c>
      <c r="R93">
        <v>3</v>
      </c>
      <c r="S93" t="s">
        <v>597</v>
      </c>
      <c r="T93" t="s">
        <v>598</v>
      </c>
    </row>
    <row r="94" spans="1:20" x14ac:dyDescent="0.35">
      <c r="A94" t="s">
        <v>158</v>
      </c>
      <c r="B94">
        <v>0.1140873246339482</v>
      </c>
      <c r="C94">
        <v>0.42</v>
      </c>
      <c r="D94">
        <v>0.548727095832657</v>
      </c>
      <c r="E94" t="s">
        <v>319</v>
      </c>
      <c r="F94" t="s">
        <v>353</v>
      </c>
      <c r="G94" s="15" t="s">
        <v>599</v>
      </c>
      <c r="H94" t="s">
        <v>355</v>
      </c>
      <c r="I94" t="s">
        <v>600</v>
      </c>
      <c r="J94" t="s">
        <v>356</v>
      </c>
      <c r="K94" t="s">
        <v>601</v>
      </c>
      <c r="L94">
        <v>3</v>
      </c>
      <c r="M94">
        <v>2</v>
      </c>
      <c r="N94">
        <v>5</v>
      </c>
      <c r="O94">
        <v>1</v>
      </c>
      <c r="P94">
        <v>4</v>
      </c>
      <c r="Q94">
        <v>6</v>
      </c>
      <c r="R94">
        <v>7</v>
      </c>
      <c r="S94" t="s">
        <v>602</v>
      </c>
      <c r="T94" t="s">
        <v>603</v>
      </c>
    </row>
    <row r="95" spans="1:20" x14ac:dyDescent="0.35">
      <c r="A95" t="s">
        <v>159</v>
      </c>
      <c r="B95">
        <v>9.8561609000783965E-4</v>
      </c>
      <c r="C95">
        <v>0.53999999999999904</v>
      </c>
      <c r="D95">
        <v>1.1694502999837799</v>
      </c>
      <c r="E95" t="s">
        <v>319</v>
      </c>
      <c r="F95" t="s">
        <v>353</v>
      </c>
      <c r="G95" s="15" t="s">
        <v>604</v>
      </c>
      <c r="H95" t="s">
        <v>355</v>
      </c>
      <c r="I95" t="s">
        <v>355</v>
      </c>
      <c r="J95" t="s">
        <v>464</v>
      </c>
      <c r="L95">
        <v>5</v>
      </c>
      <c r="M95">
        <v>3</v>
      </c>
      <c r="N95">
        <v>2</v>
      </c>
      <c r="O95">
        <v>1</v>
      </c>
      <c r="P95">
        <v>6</v>
      </c>
      <c r="Q95">
        <v>7</v>
      </c>
      <c r="R95">
        <v>4</v>
      </c>
      <c r="S95" t="s">
        <v>605</v>
      </c>
      <c r="T95" t="s">
        <v>373</v>
      </c>
    </row>
    <row r="96" spans="1:20" x14ac:dyDescent="0.35">
      <c r="A96" t="s">
        <v>160</v>
      </c>
      <c r="B96">
        <v>1.3624803240225251E-3</v>
      </c>
      <c r="C96">
        <v>4.68</v>
      </c>
      <c r="D96">
        <v>6.0223771688016798</v>
      </c>
      <c r="E96" t="s">
        <v>319</v>
      </c>
      <c r="F96" t="s">
        <v>353</v>
      </c>
      <c r="G96" s="15" t="s">
        <v>606</v>
      </c>
      <c r="H96" s="15" t="s">
        <v>355</v>
      </c>
      <c r="I96" t="s">
        <v>355</v>
      </c>
      <c r="J96" t="s">
        <v>409</v>
      </c>
      <c r="K96" t="s">
        <v>607</v>
      </c>
      <c r="L96">
        <v>1</v>
      </c>
      <c r="M96">
        <v>7</v>
      </c>
      <c r="N96">
        <v>3</v>
      </c>
      <c r="O96">
        <v>4</v>
      </c>
      <c r="P96">
        <v>6</v>
      </c>
      <c r="Q96">
        <v>2</v>
      </c>
      <c r="R96">
        <v>5</v>
      </c>
      <c r="S96" t="s">
        <v>355</v>
      </c>
      <c r="T96" t="s">
        <v>355</v>
      </c>
    </row>
    <row r="97" spans="1:20" x14ac:dyDescent="0.35">
      <c r="A97" t="s">
        <v>63</v>
      </c>
      <c r="B97">
        <v>0.74711829697226606</v>
      </c>
      <c r="C97">
        <v>0.06</v>
      </c>
      <c r="D97">
        <v>1.13442516620723</v>
      </c>
      <c r="E97" t="s">
        <v>319</v>
      </c>
      <c r="F97" t="s">
        <v>353</v>
      </c>
      <c r="G97" s="15" t="s">
        <v>608</v>
      </c>
      <c r="H97" t="s">
        <v>355</v>
      </c>
      <c r="I97" t="s">
        <v>355</v>
      </c>
      <c r="J97" t="s">
        <v>359</v>
      </c>
      <c r="L97">
        <v>3</v>
      </c>
      <c r="M97">
        <v>5</v>
      </c>
      <c r="N97">
        <v>2</v>
      </c>
      <c r="O97">
        <v>7</v>
      </c>
      <c r="P97">
        <v>6</v>
      </c>
      <c r="Q97">
        <v>1</v>
      </c>
      <c r="R97">
        <v>4</v>
      </c>
    </row>
    <row r="98" spans="1:20" ht="43.5" x14ac:dyDescent="0.35">
      <c r="A98" t="s">
        <v>162</v>
      </c>
      <c r="B98">
        <v>5.6809020816988593E-3</v>
      </c>
      <c r="C98">
        <v>1.0799999999999901</v>
      </c>
      <c r="D98">
        <v>1.6131019944867799</v>
      </c>
      <c r="E98" t="s">
        <v>319</v>
      </c>
      <c r="F98" t="s">
        <v>353</v>
      </c>
      <c r="G98" s="15" t="s">
        <v>609</v>
      </c>
      <c r="H98" t="s">
        <v>408</v>
      </c>
      <c r="I98" t="s">
        <v>408</v>
      </c>
      <c r="J98" t="s">
        <v>434</v>
      </c>
      <c r="L98">
        <v>3</v>
      </c>
      <c r="M98">
        <v>2</v>
      </c>
      <c r="N98">
        <v>4</v>
      </c>
      <c r="O98">
        <v>6</v>
      </c>
      <c r="P98">
        <v>7</v>
      </c>
      <c r="Q98">
        <v>1</v>
      </c>
      <c r="R98">
        <v>5</v>
      </c>
      <c r="S98" t="s">
        <v>355</v>
      </c>
      <c r="T98" t="s">
        <v>610</v>
      </c>
    </row>
    <row r="99" spans="1:20" x14ac:dyDescent="0.35">
      <c r="A99" t="s">
        <v>164</v>
      </c>
      <c r="B99">
        <v>1.5465043519901651E-2</v>
      </c>
      <c r="C99">
        <v>0.84</v>
      </c>
      <c r="D99">
        <v>0.60321063726284996</v>
      </c>
      <c r="E99" t="s">
        <v>319</v>
      </c>
      <c r="F99" t="s">
        <v>371</v>
      </c>
      <c r="G99" s="15" t="s">
        <v>611</v>
      </c>
      <c r="H99" t="s">
        <v>355</v>
      </c>
      <c r="I99" t="s">
        <v>355</v>
      </c>
      <c r="J99" t="s">
        <v>409</v>
      </c>
      <c r="K99" t="s">
        <v>612</v>
      </c>
      <c r="L99">
        <v>2</v>
      </c>
      <c r="M99">
        <v>6</v>
      </c>
      <c r="N99">
        <v>1</v>
      </c>
      <c r="O99">
        <v>5</v>
      </c>
      <c r="P99">
        <v>7</v>
      </c>
      <c r="Q99">
        <v>3</v>
      </c>
      <c r="R99">
        <v>4</v>
      </c>
      <c r="S99" t="s">
        <v>373</v>
      </c>
      <c r="T99" t="s">
        <v>373</v>
      </c>
    </row>
    <row r="100" spans="1:20" x14ac:dyDescent="0.35">
      <c r="A100" t="s">
        <v>166</v>
      </c>
      <c r="B100">
        <v>2.903933809272642E-9</v>
      </c>
      <c r="C100">
        <v>9.24</v>
      </c>
      <c r="D100">
        <v>10.863628993027399</v>
      </c>
      <c r="E100" t="s">
        <v>319</v>
      </c>
      <c r="F100" t="s">
        <v>371</v>
      </c>
      <c r="G100" s="15" t="s">
        <v>613</v>
      </c>
      <c r="H100" s="15" t="s">
        <v>614</v>
      </c>
      <c r="I100" t="s">
        <v>355</v>
      </c>
      <c r="J100" t="s">
        <v>380</v>
      </c>
      <c r="L100">
        <v>4</v>
      </c>
      <c r="M100">
        <v>1</v>
      </c>
      <c r="N100">
        <v>6</v>
      </c>
      <c r="O100">
        <v>3</v>
      </c>
      <c r="P100">
        <v>2</v>
      </c>
      <c r="Q100">
        <v>5</v>
      </c>
      <c r="R100">
        <v>7</v>
      </c>
      <c r="S100" t="s">
        <v>397</v>
      </c>
      <c r="T100" t="s">
        <v>397</v>
      </c>
    </row>
    <row r="101" spans="1:20" x14ac:dyDescent="0.35">
      <c r="A101" t="s">
        <v>167</v>
      </c>
      <c r="B101">
        <v>1.419327452694579E-3</v>
      </c>
      <c r="C101">
        <v>2.52</v>
      </c>
      <c r="D101">
        <v>1.2998216312631701</v>
      </c>
      <c r="E101" t="s">
        <v>319</v>
      </c>
      <c r="F101" t="s">
        <v>371</v>
      </c>
      <c r="G101" s="15" t="s">
        <v>615</v>
      </c>
      <c r="H101" t="s">
        <v>616</v>
      </c>
      <c r="I101" t="s">
        <v>617</v>
      </c>
      <c r="J101" t="s">
        <v>365</v>
      </c>
      <c r="L101">
        <v>2</v>
      </c>
      <c r="M101">
        <v>3</v>
      </c>
      <c r="N101">
        <v>1</v>
      </c>
      <c r="O101">
        <v>6</v>
      </c>
      <c r="P101">
        <v>5</v>
      </c>
      <c r="Q101">
        <v>4</v>
      </c>
      <c r="R101">
        <v>7</v>
      </c>
      <c r="S101" t="s">
        <v>355</v>
      </c>
      <c r="T101" t="s">
        <v>618</v>
      </c>
    </row>
    <row r="102" spans="1:20" x14ac:dyDescent="0.35">
      <c r="A102" t="s">
        <v>168</v>
      </c>
      <c r="B102">
        <v>2.491411292930012E-5</v>
      </c>
      <c r="C102">
        <v>0.24</v>
      </c>
      <c r="D102">
        <v>0.28798443327387702</v>
      </c>
      <c r="E102" t="s">
        <v>319</v>
      </c>
      <c r="F102" t="s">
        <v>386</v>
      </c>
      <c r="G102" s="15" t="s">
        <v>373</v>
      </c>
      <c r="H102" t="s">
        <v>373</v>
      </c>
      <c r="I102" t="s">
        <v>373</v>
      </c>
      <c r="J102" t="s">
        <v>356</v>
      </c>
      <c r="K102" t="s">
        <v>373</v>
      </c>
      <c r="L102">
        <v>2</v>
      </c>
      <c r="M102">
        <v>3</v>
      </c>
      <c r="N102">
        <v>1</v>
      </c>
      <c r="O102">
        <v>6</v>
      </c>
      <c r="P102">
        <v>7</v>
      </c>
      <c r="Q102">
        <v>4</v>
      </c>
      <c r="R102">
        <v>5</v>
      </c>
      <c r="S102" t="s">
        <v>373</v>
      </c>
      <c r="T102" t="s">
        <v>373</v>
      </c>
    </row>
    <row r="103" spans="1:20" x14ac:dyDescent="0.35">
      <c r="A103" t="s">
        <v>170</v>
      </c>
      <c r="B103">
        <v>5.7938788720948596E-3</v>
      </c>
      <c r="C103">
        <v>0.6</v>
      </c>
      <c r="D103">
        <v>1.0818874655424</v>
      </c>
      <c r="E103" t="s">
        <v>319</v>
      </c>
      <c r="F103" t="s">
        <v>386</v>
      </c>
      <c r="G103" s="15" t="s">
        <v>619</v>
      </c>
      <c r="H103" t="s">
        <v>355</v>
      </c>
      <c r="I103" t="s">
        <v>355</v>
      </c>
      <c r="J103" t="s">
        <v>356</v>
      </c>
      <c r="L103">
        <v>5</v>
      </c>
      <c r="M103">
        <v>2</v>
      </c>
      <c r="N103">
        <v>4</v>
      </c>
      <c r="O103">
        <v>3</v>
      </c>
      <c r="P103">
        <v>1</v>
      </c>
      <c r="Q103">
        <v>6</v>
      </c>
      <c r="R103">
        <v>7</v>
      </c>
      <c r="S103" t="s">
        <v>373</v>
      </c>
      <c r="T103" t="s">
        <v>620</v>
      </c>
    </row>
    <row r="104" spans="1:20" x14ac:dyDescent="0.35">
      <c r="A104" t="s">
        <v>171</v>
      </c>
      <c r="B104">
        <v>1.291997413357357E-6</v>
      </c>
      <c r="C104">
        <v>0.12</v>
      </c>
      <c r="D104">
        <v>0</v>
      </c>
      <c r="E104" t="s">
        <v>319</v>
      </c>
      <c r="F104" t="s">
        <v>353</v>
      </c>
      <c r="G104" s="15" t="s">
        <v>621</v>
      </c>
      <c r="H104" t="s">
        <v>355</v>
      </c>
      <c r="I104" t="s">
        <v>355</v>
      </c>
      <c r="J104" t="s">
        <v>622</v>
      </c>
      <c r="L104">
        <v>1</v>
      </c>
      <c r="M104">
        <v>3</v>
      </c>
      <c r="N104">
        <v>2</v>
      </c>
      <c r="O104">
        <v>5</v>
      </c>
      <c r="P104">
        <v>6</v>
      </c>
      <c r="Q104">
        <v>7</v>
      </c>
      <c r="R104">
        <v>4</v>
      </c>
      <c r="S104" t="s">
        <v>623</v>
      </c>
      <c r="T104" t="s">
        <v>373</v>
      </c>
    </row>
    <row r="105" spans="1:20" x14ac:dyDescent="0.35">
      <c r="A105" t="s">
        <v>172</v>
      </c>
      <c r="B105">
        <v>2.206917268970403E-7</v>
      </c>
      <c r="C105">
        <v>4.2</v>
      </c>
      <c r="D105">
        <v>4.6135884546781201</v>
      </c>
      <c r="E105" t="s">
        <v>319</v>
      </c>
      <c r="F105" t="s">
        <v>353</v>
      </c>
      <c r="G105" s="15" t="s">
        <v>624</v>
      </c>
      <c r="H105" s="15" t="s">
        <v>355</v>
      </c>
      <c r="I105" t="s">
        <v>355</v>
      </c>
      <c r="J105" t="s">
        <v>368</v>
      </c>
      <c r="K105" t="s">
        <v>625</v>
      </c>
      <c r="L105">
        <v>4</v>
      </c>
      <c r="M105">
        <v>2</v>
      </c>
      <c r="N105">
        <v>3</v>
      </c>
      <c r="O105">
        <v>1</v>
      </c>
      <c r="P105">
        <v>7</v>
      </c>
      <c r="Q105">
        <v>6</v>
      </c>
      <c r="R105">
        <v>5</v>
      </c>
      <c r="S105" t="s">
        <v>355</v>
      </c>
      <c r="T105" t="s">
        <v>626</v>
      </c>
    </row>
    <row r="106" spans="1:20" x14ac:dyDescent="0.35">
      <c r="A106" t="s">
        <v>174</v>
      </c>
      <c r="B106">
        <v>1.8469798104898539E-3</v>
      </c>
      <c r="C106">
        <v>2.76</v>
      </c>
      <c r="D106">
        <v>3.95784011675044</v>
      </c>
      <c r="E106" t="s">
        <v>319</v>
      </c>
      <c r="F106" t="s">
        <v>353</v>
      </c>
      <c r="G106" s="15" t="s">
        <v>431</v>
      </c>
      <c r="H106" t="s">
        <v>627</v>
      </c>
      <c r="I106" t="s">
        <v>628</v>
      </c>
      <c r="J106" t="s">
        <v>365</v>
      </c>
      <c r="L106">
        <v>4</v>
      </c>
      <c r="M106">
        <v>6</v>
      </c>
      <c r="N106">
        <v>2</v>
      </c>
      <c r="O106">
        <v>3</v>
      </c>
      <c r="P106">
        <v>1</v>
      </c>
      <c r="Q106">
        <v>5</v>
      </c>
      <c r="R106">
        <v>7</v>
      </c>
      <c r="T106" t="s">
        <v>629</v>
      </c>
    </row>
    <row r="107" spans="1:20" x14ac:dyDescent="0.35">
      <c r="A107" t="s">
        <v>176</v>
      </c>
      <c r="B107">
        <v>2.9818511913937139E-6</v>
      </c>
      <c r="C107">
        <v>4.5</v>
      </c>
      <c r="D107">
        <v>6.8941138316847699</v>
      </c>
      <c r="E107" t="s">
        <v>319</v>
      </c>
      <c r="F107" t="s">
        <v>353</v>
      </c>
      <c r="G107" s="15" t="s">
        <v>630</v>
      </c>
      <c r="H107" s="15" t="s">
        <v>355</v>
      </c>
      <c r="I107" t="s">
        <v>631</v>
      </c>
      <c r="J107" t="s">
        <v>359</v>
      </c>
      <c r="L107">
        <v>2</v>
      </c>
      <c r="M107">
        <v>1</v>
      </c>
      <c r="N107">
        <v>6</v>
      </c>
      <c r="O107">
        <v>4</v>
      </c>
      <c r="P107">
        <v>3</v>
      </c>
      <c r="Q107">
        <v>5</v>
      </c>
      <c r="R107">
        <v>7</v>
      </c>
      <c r="S107" t="s">
        <v>355</v>
      </c>
      <c r="T107" t="s">
        <v>632</v>
      </c>
    </row>
    <row r="108" spans="1:20" x14ac:dyDescent="0.35">
      <c r="A108" t="s">
        <v>178</v>
      </c>
      <c r="B108">
        <v>6.7661135289631047E-7</v>
      </c>
      <c r="C108">
        <v>5.22</v>
      </c>
      <c r="D108">
        <v>5.7402302578239004</v>
      </c>
      <c r="E108" t="s">
        <v>319</v>
      </c>
      <c r="F108" t="s">
        <v>540</v>
      </c>
      <c r="G108" s="15" t="s">
        <v>633</v>
      </c>
      <c r="H108" s="15" t="s">
        <v>411</v>
      </c>
      <c r="I108" t="s">
        <v>411</v>
      </c>
      <c r="J108" t="s">
        <v>622</v>
      </c>
      <c r="L108">
        <v>6</v>
      </c>
      <c r="M108">
        <v>5</v>
      </c>
      <c r="N108">
        <v>1</v>
      </c>
      <c r="O108">
        <v>3</v>
      </c>
      <c r="P108">
        <v>2</v>
      </c>
      <c r="Q108">
        <v>4</v>
      </c>
      <c r="R108">
        <v>7</v>
      </c>
      <c r="S108" t="s">
        <v>411</v>
      </c>
      <c r="T108" t="s">
        <v>634</v>
      </c>
    </row>
    <row r="109" spans="1:20" x14ac:dyDescent="0.35">
      <c r="A109" t="s">
        <v>179</v>
      </c>
      <c r="B109">
        <v>1.280774795210899E-2</v>
      </c>
      <c r="C109">
        <v>0.3</v>
      </c>
      <c r="D109">
        <v>0.57596886654775403</v>
      </c>
      <c r="E109" t="s">
        <v>319</v>
      </c>
      <c r="F109" t="s">
        <v>386</v>
      </c>
      <c r="G109" s="15" t="s">
        <v>635</v>
      </c>
      <c r="H109" t="s">
        <v>355</v>
      </c>
      <c r="I109" t="s">
        <v>636</v>
      </c>
      <c r="J109" t="s">
        <v>365</v>
      </c>
      <c r="L109">
        <v>1</v>
      </c>
      <c r="M109">
        <v>4</v>
      </c>
      <c r="N109">
        <v>7</v>
      </c>
      <c r="O109">
        <v>3</v>
      </c>
      <c r="P109">
        <v>2</v>
      </c>
      <c r="Q109">
        <v>6</v>
      </c>
      <c r="R109">
        <v>5</v>
      </c>
      <c r="S109" t="s">
        <v>637</v>
      </c>
      <c r="T109" t="s">
        <v>355</v>
      </c>
    </row>
    <row r="110" spans="1:20" x14ac:dyDescent="0.35">
      <c r="A110" t="s">
        <v>181</v>
      </c>
      <c r="B110">
        <v>6.28126950425138E-2</v>
      </c>
      <c r="C110">
        <v>1.5599999999999901</v>
      </c>
      <c r="D110">
        <v>0.43586833144154302</v>
      </c>
      <c r="E110" t="s">
        <v>319</v>
      </c>
      <c r="F110" t="s">
        <v>386</v>
      </c>
      <c r="G110" s="15" t="s">
        <v>638</v>
      </c>
      <c r="H110" t="s">
        <v>355</v>
      </c>
      <c r="I110" t="s">
        <v>355</v>
      </c>
      <c r="J110" t="s">
        <v>541</v>
      </c>
      <c r="L110">
        <v>1</v>
      </c>
      <c r="M110">
        <v>3</v>
      </c>
      <c r="N110">
        <v>4</v>
      </c>
      <c r="O110">
        <v>5</v>
      </c>
      <c r="P110">
        <v>2</v>
      </c>
      <c r="Q110">
        <v>6</v>
      </c>
      <c r="R110">
        <v>7</v>
      </c>
      <c r="S110" t="s">
        <v>355</v>
      </c>
      <c r="T110" t="s">
        <v>355</v>
      </c>
    </row>
    <row r="111" spans="1:20" x14ac:dyDescent="0.35">
      <c r="A111" t="s">
        <v>182</v>
      </c>
      <c r="B111">
        <v>6.6118412800629528E-5</v>
      </c>
      <c r="C111">
        <v>2.4</v>
      </c>
      <c r="D111">
        <v>3.5336468299010799</v>
      </c>
      <c r="E111" t="s">
        <v>319</v>
      </c>
      <c r="F111" t="s">
        <v>353</v>
      </c>
      <c r="G111" s="15" t="s">
        <v>639</v>
      </c>
      <c r="H111" t="s">
        <v>355</v>
      </c>
      <c r="I111" t="s">
        <v>355</v>
      </c>
      <c r="J111" t="s">
        <v>359</v>
      </c>
      <c r="L111">
        <v>5</v>
      </c>
      <c r="M111">
        <v>3</v>
      </c>
      <c r="N111">
        <v>1</v>
      </c>
      <c r="O111">
        <v>6</v>
      </c>
      <c r="P111">
        <v>7</v>
      </c>
      <c r="Q111">
        <v>2</v>
      </c>
      <c r="R111">
        <v>4</v>
      </c>
      <c r="S111" t="s">
        <v>640</v>
      </c>
      <c r="T111" t="s">
        <v>355</v>
      </c>
    </row>
    <row r="112" spans="1:20" ht="43.5" x14ac:dyDescent="0.35">
      <c r="A112" t="s">
        <v>183</v>
      </c>
      <c r="B112">
        <v>1.5936193962373831E-2</v>
      </c>
      <c r="C112">
        <v>2.6399999999999899</v>
      </c>
      <c r="D112">
        <v>3.2417707150964801</v>
      </c>
      <c r="E112" t="s">
        <v>319</v>
      </c>
      <c r="F112" t="s">
        <v>353</v>
      </c>
      <c r="G112" s="15" t="s">
        <v>641</v>
      </c>
      <c r="H112" t="s">
        <v>642</v>
      </c>
      <c r="I112" t="s">
        <v>642</v>
      </c>
      <c r="J112" t="s">
        <v>434</v>
      </c>
      <c r="L112">
        <v>7</v>
      </c>
      <c r="M112">
        <v>5</v>
      </c>
      <c r="N112">
        <v>4</v>
      </c>
      <c r="O112">
        <v>1</v>
      </c>
      <c r="P112">
        <v>6</v>
      </c>
      <c r="Q112">
        <v>2</v>
      </c>
      <c r="R112">
        <v>3</v>
      </c>
      <c r="S112" t="s">
        <v>391</v>
      </c>
      <c r="T112" t="s">
        <v>643</v>
      </c>
    </row>
    <row r="113" spans="1:20" x14ac:dyDescent="0.35">
      <c r="A113" t="s">
        <v>184</v>
      </c>
      <c r="B113">
        <v>1.0557306080817241E-2</v>
      </c>
      <c r="C113">
        <v>1.1399999999999999</v>
      </c>
      <c r="D113">
        <v>0.85033241446408203</v>
      </c>
      <c r="E113" t="s">
        <v>319</v>
      </c>
      <c r="F113" t="s">
        <v>353</v>
      </c>
      <c r="G113" s="15" t="s">
        <v>644</v>
      </c>
      <c r="H113" t="s">
        <v>355</v>
      </c>
      <c r="I113" t="s">
        <v>355</v>
      </c>
      <c r="L113">
        <v>1</v>
      </c>
      <c r="M113">
        <v>6</v>
      </c>
      <c r="N113">
        <v>4</v>
      </c>
      <c r="O113">
        <v>2</v>
      </c>
      <c r="P113">
        <v>5</v>
      </c>
      <c r="Q113">
        <v>7</v>
      </c>
      <c r="R113">
        <v>3</v>
      </c>
      <c r="S113" t="s">
        <v>645</v>
      </c>
      <c r="T113" t="s">
        <v>355</v>
      </c>
    </row>
    <row r="114" spans="1:20" x14ac:dyDescent="0.35">
      <c r="A114" t="s">
        <v>186</v>
      </c>
      <c r="B114">
        <v>2.8653330374650179E-3</v>
      </c>
      <c r="C114">
        <v>0.53999999999999904</v>
      </c>
      <c r="D114">
        <v>0.63434408950867505</v>
      </c>
      <c r="E114" t="s">
        <v>319</v>
      </c>
      <c r="F114" t="s">
        <v>353</v>
      </c>
      <c r="G114" s="15" t="s">
        <v>583</v>
      </c>
      <c r="H114" t="s">
        <v>355</v>
      </c>
      <c r="I114" t="s">
        <v>355</v>
      </c>
      <c r="J114" t="s">
        <v>356</v>
      </c>
      <c r="K114" t="s">
        <v>646</v>
      </c>
      <c r="L114">
        <v>1</v>
      </c>
      <c r="M114">
        <v>4</v>
      </c>
      <c r="N114">
        <v>2</v>
      </c>
      <c r="O114">
        <v>3</v>
      </c>
      <c r="P114">
        <v>5</v>
      </c>
      <c r="Q114">
        <v>7</v>
      </c>
      <c r="R114">
        <v>6</v>
      </c>
      <c r="S114" t="s">
        <v>555</v>
      </c>
      <c r="T114" t="s">
        <v>373</v>
      </c>
    </row>
    <row r="115" spans="1:20" ht="29" x14ac:dyDescent="0.35">
      <c r="A115" t="s">
        <v>187</v>
      </c>
      <c r="B115">
        <v>1.179711779518058E-2</v>
      </c>
      <c r="C115">
        <v>2.21999999999999</v>
      </c>
      <c r="D115">
        <v>2.8817901735041298</v>
      </c>
      <c r="E115" t="s">
        <v>319</v>
      </c>
      <c r="F115" t="s">
        <v>371</v>
      </c>
      <c r="G115" s="15" t="s">
        <v>647</v>
      </c>
      <c r="H115" t="s">
        <v>355</v>
      </c>
      <c r="I115" t="s">
        <v>648</v>
      </c>
      <c r="J115" t="s">
        <v>356</v>
      </c>
      <c r="K115" t="s">
        <v>649</v>
      </c>
      <c r="L115">
        <v>2</v>
      </c>
      <c r="M115">
        <v>1</v>
      </c>
      <c r="N115">
        <v>7</v>
      </c>
      <c r="O115">
        <v>3</v>
      </c>
      <c r="P115">
        <v>6</v>
      </c>
      <c r="Q115">
        <v>4</v>
      </c>
      <c r="R115">
        <v>5</v>
      </c>
      <c r="S115" t="s">
        <v>373</v>
      </c>
      <c r="T115" t="s">
        <v>355</v>
      </c>
    </row>
    <row r="116" spans="1:20" ht="43.5" x14ac:dyDescent="0.35">
      <c r="A116" t="s">
        <v>188</v>
      </c>
      <c r="B116">
        <v>1.10985883383707E-4</v>
      </c>
      <c r="C116">
        <v>3.71999999999999</v>
      </c>
      <c r="D116">
        <v>3.7126641803145701</v>
      </c>
      <c r="E116" t="s">
        <v>319</v>
      </c>
      <c r="F116" t="s">
        <v>371</v>
      </c>
      <c r="G116" s="15" t="s">
        <v>650</v>
      </c>
      <c r="H116" s="15" t="s">
        <v>397</v>
      </c>
      <c r="I116" t="s">
        <v>397</v>
      </c>
      <c r="J116" t="s">
        <v>359</v>
      </c>
      <c r="L116">
        <v>7</v>
      </c>
      <c r="M116">
        <v>4</v>
      </c>
      <c r="N116">
        <v>5</v>
      </c>
      <c r="O116">
        <v>2</v>
      </c>
      <c r="P116">
        <v>6</v>
      </c>
      <c r="Q116">
        <v>1</v>
      </c>
      <c r="R116">
        <v>3</v>
      </c>
      <c r="T116" t="s">
        <v>651</v>
      </c>
    </row>
    <row r="117" spans="1:20" ht="72.5" x14ac:dyDescent="0.35">
      <c r="A117" t="s">
        <v>190</v>
      </c>
      <c r="B117">
        <v>2.2619796226838509E-4</v>
      </c>
      <c r="C117">
        <v>1.5599999999999901</v>
      </c>
      <c r="D117">
        <v>1.9030322685260199</v>
      </c>
      <c r="E117" t="s">
        <v>319</v>
      </c>
      <c r="F117" t="s">
        <v>371</v>
      </c>
      <c r="G117" s="15" t="s">
        <v>894</v>
      </c>
      <c r="H117" t="s">
        <v>355</v>
      </c>
      <c r="I117" t="s">
        <v>355</v>
      </c>
      <c r="J117" t="s">
        <v>464</v>
      </c>
      <c r="L117">
        <v>4</v>
      </c>
      <c r="M117">
        <v>3</v>
      </c>
      <c r="N117">
        <v>2</v>
      </c>
      <c r="O117">
        <v>6</v>
      </c>
      <c r="P117">
        <v>7</v>
      </c>
      <c r="Q117">
        <v>1</v>
      </c>
      <c r="R117">
        <v>5</v>
      </c>
      <c r="S117" t="s">
        <v>652</v>
      </c>
      <c r="T117" t="s">
        <v>653</v>
      </c>
    </row>
    <row r="118" spans="1:20" x14ac:dyDescent="0.35">
      <c r="A118" t="s">
        <v>191</v>
      </c>
      <c r="B118">
        <v>0.88576173087838062</v>
      </c>
      <c r="C118">
        <v>0.12</v>
      </c>
      <c r="D118">
        <v>0.25490514026268801</v>
      </c>
      <c r="E118" t="s">
        <v>319</v>
      </c>
      <c r="F118" t="s">
        <v>353</v>
      </c>
      <c r="G118" s="15" t="s">
        <v>654</v>
      </c>
      <c r="H118" t="s">
        <v>355</v>
      </c>
      <c r="I118" t="s">
        <v>355</v>
      </c>
      <c r="J118" t="s">
        <v>359</v>
      </c>
      <c r="L118">
        <v>2</v>
      </c>
      <c r="M118">
        <v>1</v>
      </c>
      <c r="N118">
        <v>3</v>
      </c>
      <c r="O118">
        <v>7</v>
      </c>
      <c r="P118">
        <v>4</v>
      </c>
      <c r="Q118">
        <v>5</v>
      </c>
      <c r="R118">
        <v>6</v>
      </c>
      <c r="S118" t="s">
        <v>655</v>
      </c>
      <c r="T118" t="s">
        <v>656</v>
      </c>
    </row>
    <row r="119" spans="1:20" ht="29" x14ac:dyDescent="0.35">
      <c r="A119" t="s">
        <v>193</v>
      </c>
      <c r="B119">
        <v>1.2594909661739069E-6</v>
      </c>
      <c r="C119">
        <v>4.9800000000000004</v>
      </c>
      <c r="D119">
        <v>3.73601426949894</v>
      </c>
      <c r="E119" t="s">
        <v>319</v>
      </c>
      <c r="F119" t="s">
        <v>371</v>
      </c>
      <c r="G119" s="15" t="s">
        <v>657</v>
      </c>
      <c r="H119" s="15" t="s">
        <v>355</v>
      </c>
      <c r="I119" t="s">
        <v>658</v>
      </c>
      <c r="J119" t="s">
        <v>434</v>
      </c>
      <c r="L119">
        <v>1</v>
      </c>
      <c r="M119">
        <v>2</v>
      </c>
      <c r="N119">
        <v>3</v>
      </c>
      <c r="O119">
        <v>4</v>
      </c>
      <c r="P119">
        <v>5</v>
      </c>
      <c r="Q119">
        <v>6</v>
      </c>
      <c r="R119">
        <v>7</v>
      </c>
      <c r="S119" t="s">
        <v>659</v>
      </c>
      <c r="T119" t="s">
        <v>355</v>
      </c>
    </row>
    <row r="120" spans="1:20" ht="29" x14ac:dyDescent="0.35">
      <c r="A120" t="s">
        <v>194</v>
      </c>
      <c r="B120">
        <v>0.58259163503369382</v>
      </c>
      <c r="C120">
        <v>0.12</v>
      </c>
      <c r="D120">
        <v>0.43781417220690699</v>
      </c>
      <c r="E120" t="s">
        <v>319</v>
      </c>
      <c r="F120" t="s">
        <v>371</v>
      </c>
      <c r="G120" s="15" t="s">
        <v>660</v>
      </c>
      <c r="H120" t="s">
        <v>661</v>
      </c>
      <c r="I120" t="s">
        <v>662</v>
      </c>
      <c r="J120" t="s">
        <v>368</v>
      </c>
      <c r="K120" t="s">
        <v>663</v>
      </c>
      <c r="L120">
        <v>1</v>
      </c>
      <c r="M120">
        <v>7</v>
      </c>
      <c r="N120">
        <v>2</v>
      </c>
      <c r="O120">
        <v>6</v>
      </c>
      <c r="P120">
        <v>5</v>
      </c>
      <c r="Q120">
        <v>3</v>
      </c>
      <c r="R120">
        <v>4</v>
      </c>
      <c r="S120" t="s">
        <v>485</v>
      </c>
      <c r="T120" t="s">
        <v>491</v>
      </c>
    </row>
    <row r="121" spans="1:20" x14ac:dyDescent="0.35">
      <c r="A121" t="s">
        <v>195</v>
      </c>
      <c r="B121">
        <v>0.27878960764312571</v>
      </c>
      <c r="C121">
        <v>0.36</v>
      </c>
      <c r="D121">
        <v>0.68493594940813995</v>
      </c>
      <c r="E121" t="s">
        <v>319</v>
      </c>
      <c r="F121" t="s">
        <v>353</v>
      </c>
      <c r="G121" s="15" t="s">
        <v>664</v>
      </c>
      <c r="H121" t="s">
        <v>355</v>
      </c>
      <c r="I121" t="s">
        <v>355</v>
      </c>
      <c r="J121" t="s">
        <v>365</v>
      </c>
      <c r="L121">
        <v>3</v>
      </c>
      <c r="M121">
        <v>2</v>
      </c>
      <c r="N121">
        <v>1</v>
      </c>
      <c r="O121">
        <v>7</v>
      </c>
      <c r="P121">
        <v>4</v>
      </c>
      <c r="Q121">
        <v>5</v>
      </c>
      <c r="R121">
        <v>6</v>
      </c>
      <c r="S121" t="s">
        <v>665</v>
      </c>
      <c r="T121" t="s">
        <v>665</v>
      </c>
    </row>
    <row r="122" spans="1:20" x14ac:dyDescent="0.35">
      <c r="A122" t="s">
        <v>196</v>
      </c>
      <c r="B122">
        <v>7.144355089423568E-2</v>
      </c>
      <c r="C122">
        <v>0.84</v>
      </c>
      <c r="D122">
        <v>2.1365331603697002</v>
      </c>
      <c r="E122" t="s">
        <v>319</v>
      </c>
      <c r="F122" t="s">
        <v>386</v>
      </c>
      <c r="G122" s="15" t="s">
        <v>387</v>
      </c>
      <c r="H122" t="s">
        <v>387</v>
      </c>
      <c r="I122" t="s">
        <v>387</v>
      </c>
      <c r="J122" t="s">
        <v>356</v>
      </c>
      <c r="K122" t="s">
        <v>666</v>
      </c>
      <c r="L122">
        <v>5</v>
      </c>
      <c r="M122">
        <v>4</v>
      </c>
      <c r="N122">
        <v>7</v>
      </c>
      <c r="O122">
        <v>2</v>
      </c>
      <c r="P122">
        <v>1</v>
      </c>
      <c r="Q122">
        <v>3</v>
      </c>
      <c r="R122">
        <v>6</v>
      </c>
      <c r="S122" t="s">
        <v>667</v>
      </c>
      <c r="T122" t="s">
        <v>387</v>
      </c>
    </row>
    <row r="123" spans="1:20" x14ac:dyDescent="0.35">
      <c r="A123" t="s">
        <v>197</v>
      </c>
      <c r="B123">
        <v>4.3021634149683656E-3</v>
      </c>
      <c r="C123">
        <v>3.3</v>
      </c>
      <c r="D123">
        <v>3.9403275498621602</v>
      </c>
      <c r="E123" t="s">
        <v>319</v>
      </c>
      <c r="F123" t="s">
        <v>371</v>
      </c>
      <c r="G123" s="15" t="s">
        <v>393</v>
      </c>
      <c r="H123" s="15" t="s">
        <v>355</v>
      </c>
      <c r="I123" t="s">
        <v>355</v>
      </c>
      <c r="J123" t="s">
        <v>359</v>
      </c>
      <c r="L123">
        <v>1</v>
      </c>
      <c r="M123">
        <v>4</v>
      </c>
      <c r="N123">
        <v>3</v>
      </c>
      <c r="O123">
        <v>7</v>
      </c>
      <c r="P123">
        <v>5</v>
      </c>
      <c r="Q123">
        <v>2</v>
      </c>
      <c r="R123">
        <v>6</v>
      </c>
      <c r="S123" t="s">
        <v>393</v>
      </c>
      <c r="T123" t="s">
        <v>393</v>
      </c>
    </row>
    <row r="124" spans="1:20" ht="29" x14ac:dyDescent="0.35">
      <c r="A124" t="s">
        <v>198</v>
      </c>
      <c r="B124">
        <v>5.6746455868404832E-3</v>
      </c>
      <c r="C124">
        <v>1.7999999999999901</v>
      </c>
      <c r="D124">
        <v>0.69271931246959595</v>
      </c>
      <c r="E124" t="s">
        <v>319</v>
      </c>
      <c r="F124" t="s">
        <v>371</v>
      </c>
      <c r="G124" s="15" t="s">
        <v>668</v>
      </c>
      <c r="H124" t="s">
        <v>355</v>
      </c>
      <c r="I124" t="s">
        <v>485</v>
      </c>
      <c r="J124" t="s">
        <v>359</v>
      </c>
      <c r="L124">
        <v>6</v>
      </c>
      <c r="M124">
        <v>1</v>
      </c>
      <c r="N124">
        <v>2</v>
      </c>
      <c r="O124">
        <v>7</v>
      </c>
      <c r="P124">
        <v>5</v>
      </c>
      <c r="Q124">
        <v>3</v>
      </c>
      <c r="R124">
        <v>4</v>
      </c>
      <c r="S124" t="s">
        <v>669</v>
      </c>
      <c r="T124" t="s">
        <v>670</v>
      </c>
    </row>
    <row r="125" spans="1:20" x14ac:dyDescent="0.35">
      <c r="A125" t="s">
        <v>199</v>
      </c>
      <c r="B125">
        <v>1.1500938355594801E-6</v>
      </c>
      <c r="C125">
        <v>1.1399999999999999</v>
      </c>
      <c r="D125">
        <v>1.8699529755148301</v>
      </c>
      <c r="E125" t="s">
        <v>319</v>
      </c>
      <c r="F125" t="s">
        <v>353</v>
      </c>
      <c r="G125" s="15" t="s">
        <v>671</v>
      </c>
      <c r="H125" t="s">
        <v>672</v>
      </c>
      <c r="I125" t="s">
        <v>408</v>
      </c>
      <c r="J125" t="s">
        <v>380</v>
      </c>
      <c r="L125">
        <v>1</v>
      </c>
      <c r="M125">
        <v>2</v>
      </c>
      <c r="N125">
        <v>5</v>
      </c>
      <c r="O125">
        <v>3</v>
      </c>
      <c r="P125">
        <v>6</v>
      </c>
      <c r="Q125">
        <v>4</v>
      </c>
      <c r="R125">
        <v>7</v>
      </c>
      <c r="S125" t="s">
        <v>373</v>
      </c>
      <c r="T125" t="s">
        <v>673</v>
      </c>
    </row>
    <row r="126" spans="1:20" x14ac:dyDescent="0.35">
      <c r="A126" t="s">
        <v>200</v>
      </c>
      <c r="B126">
        <v>0.2295298131022761</v>
      </c>
      <c r="C126">
        <v>1.0799999999999901</v>
      </c>
      <c r="D126">
        <v>2.1092913896546102</v>
      </c>
      <c r="E126" t="s">
        <v>319</v>
      </c>
      <c r="F126" t="s">
        <v>353</v>
      </c>
      <c r="G126" s="15" t="s">
        <v>674</v>
      </c>
      <c r="H126" t="s">
        <v>355</v>
      </c>
      <c r="I126" t="s">
        <v>373</v>
      </c>
      <c r="J126" t="s">
        <v>359</v>
      </c>
      <c r="L126">
        <v>3</v>
      </c>
      <c r="M126">
        <v>1</v>
      </c>
      <c r="N126">
        <v>2</v>
      </c>
      <c r="O126">
        <v>6</v>
      </c>
      <c r="P126">
        <v>5</v>
      </c>
      <c r="Q126">
        <v>4</v>
      </c>
      <c r="R126">
        <v>7</v>
      </c>
      <c r="S126" t="s">
        <v>373</v>
      </c>
      <c r="T126" t="s">
        <v>373</v>
      </c>
    </row>
    <row r="127" spans="1:20" x14ac:dyDescent="0.35">
      <c r="A127" t="s">
        <v>201</v>
      </c>
      <c r="B127">
        <v>0.1556938701726279</v>
      </c>
      <c r="C127">
        <v>0.42</v>
      </c>
      <c r="D127">
        <v>0.57986054807848197</v>
      </c>
      <c r="E127" t="s">
        <v>319</v>
      </c>
      <c r="F127" t="s">
        <v>353</v>
      </c>
      <c r="G127" s="15" t="s">
        <v>675</v>
      </c>
      <c r="H127" t="s">
        <v>355</v>
      </c>
      <c r="I127" t="s">
        <v>355</v>
      </c>
      <c r="J127" t="s">
        <v>434</v>
      </c>
      <c r="L127">
        <v>1</v>
      </c>
      <c r="M127">
        <v>2</v>
      </c>
      <c r="N127">
        <v>4</v>
      </c>
      <c r="O127">
        <v>5</v>
      </c>
      <c r="P127">
        <v>6</v>
      </c>
      <c r="Q127">
        <v>3</v>
      </c>
      <c r="R127">
        <v>7</v>
      </c>
      <c r="S127" t="s">
        <v>373</v>
      </c>
      <c r="T127" t="s">
        <v>676</v>
      </c>
    </row>
    <row r="128" spans="1:20" x14ac:dyDescent="0.35">
      <c r="A128" t="s">
        <v>202</v>
      </c>
      <c r="C128">
        <v>0</v>
      </c>
      <c r="D128">
        <v>0</v>
      </c>
      <c r="E128" t="s">
        <v>328</v>
      </c>
      <c r="F128" t="s">
        <v>386</v>
      </c>
      <c r="G128" s="15" t="s">
        <v>485</v>
      </c>
      <c r="H128" t="s">
        <v>485</v>
      </c>
      <c r="I128" t="s">
        <v>485</v>
      </c>
      <c r="J128" t="s">
        <v>356</v>
      </c>
      <c r="K128" t="s">
        <v>485</v>
      </c>
      <c r="L128">
        <v>4</v>
      </c>
      <c r="M128">
        <v>1</v>
      </c>
      <c r="N128">
        <v>3</v>
      </c>
      <c r="O128">
        <v>5</v>
      </c>
      <c r="P128">
        <v>2</v>
      </c>
      <c r="Q128">
        <v>6</v>
      </c>
      <c r="R128">
        <v>7</v>
      </c>
      <c r="S128" t="s">
        <v>485</v>
      </c>
      <c r="T128" t="s">
        <v>485</v>
      </c>
    </row>
    <row r="129" spans="1:20" x14ac:dyDescent="0.35">
      <c r="A129" t="s">
        <v>203</v>
      </c>
      <c r="B129">
        <v>0.5770154930245347</v>
      </c>
      <c r="C129">
        <v>0.24</v>
      </c>
      <c r="D129">
        <v>0.47867682827955199</v>
      </c>
      <c r="E129" t="s">
        <v>319</v>
      </c>
      <c r="F129" t="s">
        <v>353</v>
      </c>
      <c r="G129" s="15" t="s">
        <v>677</v>
      </c>
      <c r="H129" t="s">
        <v>355</v>
      </c>
      <c r="I129" t="s">
        <v>355</v>
      </c>
      <c r="J129" t="s">
        <v>356</v>
      </c>
      <c r="K129" t="s">
        <v>678</v>
      </c>
      <c r="L129">
        <v>1</v>
      </c>
      <c r="M129">
        <v>2</v>
      </c>
      <c r="N129">
        <v>3</v>
      </c>
      <c r="O129">
        <v>4</v>
      </c>
      <c r="P129">
        <v>5</v>
      </c>
      <c r="Q129">
        <v>6</v>
      </c>
      <c r="R129">
        <v>7</v>
      </c>
      <c r="S129" t="s">
        <v>679</v>
      </c>
      <c r="T129" t="s">
        <v>680</v>
      </c>
    </row>
    <row r="130" spans="1:20" x14ac:dyDescent="0.35">
      <c r="A130" t="s">
        <v>204</v>
      </c>
      <c r="B130">
        <v>9.483297154160078E-2</v>
      </c>
      <c r="C130">
        <v>0.6</v>
      </c>
      <c r="D130">
        <v>1.23950056753688</v>
      </c>
      <c r="E130" t="s">
        <v>319</v>
      </c>
      <c r="F130" t="s">
        <v>353</v>
      </c>
      <c r="G130" s="15" t="s">
        <v>681</v>
      </c>
      <c r="H130" t="s">
        <v>682</v>
      </c>
      <c r="I130" t="s">
        <v>683</v>
      </c>
      <c r="J130" t="s">
        <v>359</v>
      </c>
      <c r="L130">
        <v>6</v>
      </c>
      <c r="M130">
        <v>1</v>
      </c>
      <c r="N130">
        <v>2</v>
      </c>
      <c r="O130">
        <v>5</v>
      </c>
      <c r="P130">
        <v>7</v>
      </c>
      <c r="Q130">
        <v>3</v>
      </c>
      <c r="R130">
        <v>4</v>
      </c>
      <c r="S130" t="s">
        <v>355</v>
      </c>
      <c r="T130" t="s">
        <v>355</v>
      </c>
    </row>
    <row r="131" spans="1:20" x14ac:dyDescent="0.35">
      <c r="A131" t="s">
        <v>205</v>
      </c>
      <c r="B131">
        <v>7.9820087808453683E-4</v>
      </c>
      <c r="C131">
        <v>1.7999999999999901</v>
      </c>
      <c r="D131">
        <v>2.0003243067942198</v>
      </c>
      <c r="E131" t="s">
        <v>319</v>
      </c>
      <c r="F131" t="s">
        <v>371</v>
      </c>
      <c r="G131" s="15" t="s">
        <v>684</v>
      </c>
      <c r="H131" t="s">
        <v>355</v>
      </c>
      <c r="I131" t="s">
        <v>355</v>
      </c>
      <c r="J131" t="s">
        <v>359</v>
      </c>
      <c r="L131">
        <v>4</v>
      </c>
      <c r="M131">
        <v>1</v>
      </c>
      <c r="N131">
        <v>2</v>
      </c>
      <c r="O131">
        <v>5</v>
      </c>
      <c r="P131">
        <v>6</v>
      </c>
      <c r="Q131">
        <v>3</v>
      </c>
      <c r="R131">
        <v>7</v>
      </c>
      <c r="S131" t="s">
        <v>355</v>
      </c>
      <c r="T131" t="s">
        <v>685</v>
      </c>
    </row>
    <row r="132" spans="1:20" x14ac:dyDescent="0.35">
      <c r="A132" t="s">
        <v>206</v>
      </c>
      <c r="B132">
        <v>8.5654967599648441E-2</v>
      </c>
      <c r="C132">
        <v>0.72</v>
      </c>
      <c r="D132">
        <v>1.7590400518890801</v>
      </c>
      <c r="E132" t="s">
        <v>319</v>
      </c>
      <c r="F132" t="s">
        <v>371</v>
      </c>
      <c r="G132" s="15" t="s">
        <v>686</v>
      </c>
      <c r="H132" t="s">
        <v>355</v>
      </c>
      <c r="I132" t="s">
        <v>355</v>
      </c>
      <c r="J132" t="s">
        <v>541</v>
      </c>
      <c r="L132">
        <v>2</v>
      </c>
      <c r="M132">
        <v>3</v>
      </c>
      <c r="N132">
        <v>4</v>
      </c>
      <c r="O132">
        <v>5</v>
      </c>
      <c r="P132">
        <v>6</v>
      </c>
      <c r="Q132">
        <v>1</v>
      </c>
      <c r="R132">
        <v>7</v>
      </c>
      <c r="S132" t="s">
        <v>687</v>
      </c>
      <c r="T132" t="s">
        <v>485</v>
      </c>
    </row>
    <row r="133" spans="1:20" x14ac:dyDescent="0.35">
      <c r="A133" t="s">
        <v>207</v>
      </c>
      <c r="B133">
        <v>0.1989473469722513</v>
      </c>
      <c r="C133">
        <v>0.06</v>
      </c>
      <c r="D133">
        <v>0.46311010215664</v>
      </c>
      <c r="E133" t="s">
        <v>319</v>
      </c>
      <c r="F133" t="s">
        <v>353</v>
      </c>
      <c r="G133" s="15" t="s">
        <v>688</v>
      </c>
      <c r="H133" t="s">
        <v>355</v>
      </c>
      <c r="I133" t="s">
        <v>689</v>
      </c>
      <c r="J133" t="s">
        <v>511</v>
      </c>
      <c r="K133" t="s">
        <v>690</v>
      </c>
      <c r="L133">
        <v>3</v>
      </c>
      <c r="M133">
        <v>2</v>
      </c>
      <c r="N133">
        <v>1</v>
      </c>
      <c r="O133">
        <v>5</v>
      </c>
      <c r="P133">
        <v>6</v>
      </c>
      <c r="Q133">
        <v>7</v>
      </c>
      <c r="R133">
        <v>4</v>
      </c>
      <c r="S133" t="s">
        <v>691</v>
      </c>
      <c r="T133" t="s">
        <v>692</v>
      </c>
    </row>
    <row r="134" spans="1:20" x14ac:dyDescent="0.35">
      <c r="A134" t="s">
        <v>208</v>
      </c>
      <c r="B134">
        <v>1.307871306948168E-3</v>
      </c>
      <c r="C134">
        <v>2.21999999999999</v>
      </c>
      <c r="D134" s="7">
        <v>3.5686719636776298</v>
      </c>
      <c r="E134" t="s">
        <v>319</v>
      </c>
      <c r="F134" t="s">
        <v>353</v>
      </c>
      <c r="G134" s="15" t="s">
        <v>693</v>
      </c>
      <c r="H134" t="s">
        <v>355</v>
      </c>
      <c r="I134" t="s">
        <v>694</v>
      </c>
      <c r="J134" t="s">
        <v>359</v>
      </c>
      <c r="L134">
        <v>2</v>
      </c>
      <c r="M134">
        <v>1</v>
      </c>
      <c r="N134">
        <v>3</v>
      </c>
      <c r="O134">
        <v>4</v>
      </c>
      <c r="P134">
        <v>7</v>
      </c>
      <c r="Q134">
        <v>5</v>
      </c>
      <c r="R134">
        <v>6</v>
      </c>
      <c r="S134" t="s">
        <v>695</v>
      </c>
      <c r="T134" t="s">
        <v>696</v>
      </c>
    </row>
    <row r="135" spans="1:20" x14ac:dyDescent="0.35">
      <c r="A135" t="s">
        <v>209</v>
      </c>
      <c r="B135">
        <v>0.35837384422358493</v>
      </c>
      <c r="C135">
        <v>-0.12</v>
      </c>
      <c r="D135">
        <v>0.48062266904491602</v>
      </c>
      <c r="E135" t="s">
        <v>329</v>
      </c>
      <c r="F135" t="s">
        <v>353</v>
      </c>
      <c r="G135" s="15" t="s">
        <v>697</v>
      </c>
      <c r="H135" t="s">
        <v>355</v>
      </c>
      <c r="I135" t="s">
        <v>355</v>
      </c>
      <c r="J135" t="s">
        <v>356</v>
      </c>
      <c r="K135" t="s">
        <v>698</v>
      </c>
      <c r="L135">
        <v>2</v>
      </c>
      <c r="M135">
        <v>1</v>
      </c>
      <c r="N135">
        <v>3</v>
      </c>
      <c r="O135">
        <v>7</v>
      </c>
      <c r="P135">
        <v>6</v>
      </c>
      <c r="Q135">
        <v>4</v>
      </c>
      <c r="R135">
        <v>5</v>
      </c>
      <c r="S135" t="s">
        <v>355</v>
      </c>
      <c r="T135" t="s">
        <v>699</v>
      </c>
    </row>
    <row r="136" spans="1:20" ht="29" x14ac:dyDescent="0.35">
      <c r="A136" t="s">
        <v>210</v>
      </c>
      <c r="B136">
        <v>0.66277561232323068</v>
      </c>
      <c r="C136">
        <v>0.42</v>
      </c>
      <c r="D136">
        <v>0.83476568834117004</v>
      </c>
      <c r="E136" t="s">
        <v>319</v>
      </c>
      <c r="F136" t="s">
        <v>353</v>
      </c>
      <c r="G136" s="15" t="s">
        <v>700</v>
      </c>
      <c r="H136" t="s">
        <v>701</v>
      </c>
      <c r="I136" t="s">
        <v>702</v>
      </c>
      <c r="J136" t="s">
        <v>356</v>
      </c>
      <c r="K136" t="s">
        <v>703</v>
      </c>
      <c r="L136">
        <v>2</v>
      </c>
      <c r="M136">
        <v>1</v>
      </c>
      <c r="N136">
        <v>3</v>
      </c>
      <c r="O136">
        <v>5</v>
      </c>
      <c r="P136">
        <v>7</v>
      </c>
      <c r="Q136">
        <v>6</v>
      </c>
      <c r="R136">
        <v>4</v>
      </c>
      <c r="S136" t="s">
        <v>704</v>
      </c>
      <c r="T136" t="s">
        <v>705</v>
      </c>
    </row>
    <row r="137" spans="1:20" x14ac:dyDescent="0.35">
      <c r="A137" t="s">
        <v>211</v>
      </c>
      <c r="B137">
        <v>8.1713645046977402E-5</v>
      </c>
      <c r="C137">
        <v>1.38</v>
      </c>
      <c r="D137">
        <v>2.1365331603697002</v>
      </c>
      <c r="E137" t="s">
        <v>319</v>
      </c>
      <c r="F137" t="s">
        <v>353</v>
      </c>
      <c r="G137" s="15" t="s">
        <v>706</v>
      </c>
      <c r="H137" t="s">
        <v>355</v>
      </c>
      <c r="I137" t="s">
        <v>355</v>
      </c>
      <c r="J137" t="s">
        <v>365</v>
      </c>
      <c r="L137">
        <v>1</v>
      </c>
      <c r="M137">
        <v>2</v>
      </c>
      <c r="N137">
        <v>3</v>
      </c>
      <c r="O137">
        <v>7</v>
      </c>
      <c r="P137">
        <v>6</v>
      </c>
      <c r="Q137">
        <v>5</v>
      </c>
      <c r="R137">
        <v>4</v>
      </c>
      <c r="S137" t="s">
        <v>355</v>
      </c>
      <c r="T137" t="s">
        <v>355</v>
      </c>
    </row>
    <row r="138" spans="1:20" ht="29" x14ac:dyDescent="0.35">
      <c r="A138" t="s">
        <v>212</v>
      </c>
      <c r="B138">
        <v>0.52047281191517458</v>
      </c>
      <c r="C138">
        <v>0.36</v>
      </c>
      <c r="D138">
        <v>0.60710231879357801</v>
      </c>
      <c r="E138" t="s">
        <v>319</v>
      </c>
      <c r="F138" t="s">
        <v>353</v>
      </c>
      <c r="G138" s="15" t="s">
        <v>707</v>
      </c>
      <c r="H138" t="s">
        <v>355</v>
      </c>
      <c r="I138" t="s">
        <v>355</v>
      </c>
      <c r="J138" t="s">
        <v>356</v>
      </c>
      <c r="K138" t="s">
        <v>708</v>
      </c>
      <c r="L138">
        <v>7</v>
      </c>
      <c r="M138">
        <v>3</v>
      </c>
      <c r="N138">
        <v>2</v>
      </c>
      <c r="O138">
        <v>1</v>
      </c>
      <c r="P138">
        <v>4</v>
      </c>
      <c r="Q138">
        <v>5</v>
      </c>
      <c r="R138">
        <v>6</v>
      </c>
      <c r="S138" t="s">
        <v>709</v>
      </c>
      <c r="T138" t="s">
        <v>710</v>
      </c>
    </row>
    <row r="139" spans="1:20" ht="29" x14ac:dyDescent="0.35">
      <c r="A139" t="s">
        <v>213</v>
      </c>
      <c r="B139">
        <v>1.31913727358545E-3</v>
      </c>
      <c r="C139">
        <v>1.3199999999999901</v>
      </c>
      <c r="D139">
        <v>2.0334035998054101</v>
      </c>
      <c r="E139" t="s">
        <v>319</v>
      </c>
      <c r="F139" t="s">
        <v>353</v>
      </c>
      <c r="G139" s="15" t="s">
        <v>711</v>
      </c>
      <c r="H139" t="s">
        <v>355</v>
      </c>
      <c r="I139" t="s">
        <v>355</v>
      </c>
      <c r="J139" t="s">
        <v>356</v>
      </c>
      <c r="K139" t="s">
        <v>712</v>
      </c>
      <c r="L139">
        <v>1</v>
      </c>
      <c r="M139">
        <v>2</v>
      </c>
      <c r="N139">
        <v>3</v>
      </c>
      <c r="O139">
        <v>4</v>
      </c>
      <c r="P139">
        <v>6</v>
      </c>
      <c r="Q139">
        <v>7</v>
      </c>
      <c r="R139">
        <v>5</v>
      </c>
      <c r="S139" t="s">
        <v>355</v>
      </c>
      <c r="T139" t="s">
        <v>355</v>
      </c>
    </row>
    <row r="140" spans="1:20" x14ac:dyDescent="0.35">
      <c r="A140" t="s">
        <v>214</v>
      </c>
      <c r="B140">
        <v>1.897004240556053E-4</v>
      </c>
      <c r="C140">
        <v>2.76</v>
      </c>
      <c r="D140" s="7">
        <v>4.04734879195719</v>
      </c>
      <c r="E140" t="s">
        <v>319</v>
      </c>
      <c r="F140" t="s">
        <v>353</v>
      </c>
      <c r="G140" s="15" t="s">
        <v>713</v>
      </c>
      <c r="H140" t="s">
        <v>355</v>
      </c>
      <c r="I140" t="s">
        <v>355</v>
      </c>
      <c r="J140" t="s">
        <v>409</v>
      </c>
      <c r="K140" t="s">
        <v>714</v>
      </c>
      <c r="L140">
        <v>1</v>
      </c>
      <c r="M140">
        <v>2</v>
      </c>
      <c r="N140">
        <v>3</v>
      </c>
      <c r="O140">
        <v>5</v>
      </c>
      <c r="P140">
        <v>7</v>
      </c>
      <c r="Q140">
        <v>4</v>
      </c>
      <c r="R140">
        <v>6</v>
      </c>
      <c r="S140" t="s">
        <v>715</v>
      </c>
      <c r="T140" t="s">
        <v>716</v>
      </c>
    </row>
    <row r="141" spans="1:20" x14ac:dyDescent="0.35">
      <c r="A141" t="s">
        <v>215</v>
      </c>
      <c r="B141">
        <v>2.9588259220476201E-7</v>
      </c>
      <c r="C141">
        <v>4.92</v>
      </c>
      <c r="D141">
        <v>5.5300794551645804</v>
      </c>
      <c r="E141" t="s">
        <v>319</v>
      </c>
      <c r="F141" t="s">
        <v>371</v>
      </c>
      <c r="G141" s="15" t="s">
        <v>717</v>
      </c>
      <c r="H141" s="15" t="s">
        <v>355</v>
      </c>
      <c r="I141" t="s">
        <v>355</v>
      </c>
      <c r="J141" t="s">
        <v>380</v>
      </c>
      <c r="L141">
        <v>5</v>
      </c>
      <c r="M141">
        <v>1</v>
      </c>
      <c r="N141">
        <v>4</v>
      </c>
      <c r="O141">
        <v>2</v>
      </c>
      <c r="P141">
        <v>3</v>
      </c>
      <c r="Q141">
        <v>6</v>
      </c>
      <c r="R141">
        <v>7</v>
      </c>
      <c r="S141" t="s">
        <v>373</v>
      </c>
      <c r="T141" t="s">
        <v>373</v>
      </c>
    </row>
    <row r="142" spans="1:20" x14ac:dyDescent="0.35">
      <c r="A142" t="s">
        <v>216</v>
      </c>
      <c r="B142">
        <v>1.6766475572007019E-4</v>
      </c>
      <c r="C142">
        <v>1.5599999999999901</v>
      </c>
      <c r="D142">
        <v>1.85633209015728</v>
      </c>
      <c r="E142" t="s">
        <v>319</v>
      </c>
      <c r="F142" t="s">
        <v>353</v>
      </c>
      <c r="G142" s="15" t="s">
        <v>718</v>
      </c>
      <c r="H142" t="s">
        <v>355</v>
      </c>
      <c r="I142" t="s">
        <v>355</v>
      </c>
      <c r="J142" t="s">
        <v>368</v>
      </c>
      <c r="K142" t="s">
        <v>387</v>
      </c>
      <c r="L142">
        <v>3</v>
      </c>
      <c r="M142">
        <v>2</v>
      </c>
      <c r="N142">
        <v>1</v>
      </c>
      <c r="O142">
        <v>7</v>
      </c>
      <c r="P142">
        <v>6</v>
      </c>
      <c r="Q142">
        <v>4</v>
      </c>
      <c r="R142">
        <v>5</v>
      </c>
      <c r="S142" t="s">
        <v>719</v>
      </c>
      <c r="T142" t="s">
        <v>720</v>
      </c>
    </row>
    <row r="143" spans="1:20" x14ac:dyDescent="0.35">
      <c r="A143" t="s">
        <v>218</v>
      </c>
      <c r="B143">
        <v>0.75214745529995097</v>
      </c>
      <c r="C143">
        <v>0.06</v>
      </c>
      <c r="D143">
        <v>0.42419328684935897</v>
      </c>
      <c r="E143" t="s">
        <v>319</v>
      </c>
      <c r="F143" t="s">
        <v>353</v>
      </c>
      <c r="G143" s="15" t="s">
        <v>721</v>
      </c>
      <c r="H143" t="s">
        <v>355</v>
      </c>
      <c r="I143" t="s">
        <v>355</v>
      </c>
      <c r="J143" t="s">
        <v>356</v>
      </c>
      <c r="K143" t="s">
        <v>722</v>
      </c>
      <c r="L143">
        <v>3</v>
      </c>
      <c r="M143">
        <v>2</v>
      </c>
      <c r="N143">
        <v>1</v>
      </c>
      <c r="O143">
        <v>4</v>
      </c>
      <c r="P143">
        <v>7</v>
      </c>
      <c r="Q143">
        <v>6</v>
      </c>
      <c r="R143">
        <v>5</v>
      </c>
      <c r="S143" t="s">
        <v>442</v>
      </c>
      <c r="T143" t="s">
        <v>723</v>
      </c>
    </row>
    <row r="144" spans="1:20" x14ac:dyDescent="0.35">
      <c r="A144" t="s">
        <v>219</v>
      </c>
      <c r="B144">
        <v>0.64018937494725792</v>
      </c>
      <c r="C144">
        <v>-0.06</v>
      </c>
      <c r="D144">
        <v>1.36208853575482E-2</v>
      </c>
      <c r="E144" t="s">
        <v>329</v>
      </c>
      <c r="F144" t="s">
        <v>386</v>
      </c>
      <c r="G144" s="15" t="s">
        <v>724</v>
      </c>
      <c r="H144" t="s">
        <v>355</v>
      </c>
      <c r="I144" t="s">
        <v>355</v>
      </c>
      <c r="J144" t="s">
        <v>409</v>
      </c>
      <c r="K144" t="s">
        <v>725</v>
      </c>
      <c r="L144">
        <v>3</v>
      </c>
      <c r="M144">
        <v>4</v>
      </c>
      <c r="N144">
        <v>5</v>
      </c>
      <c r="O144">
        <v>2</v>
      </c>
      <c r="P144">
        <v>7</v>
      </c>
      <c r="Q144">
        <v>1</v>
      </c>
      <c r="R144">
        <v>6</v>
      </c>
      <c r="S144" t="s">
        <v>726</v>
      </c>
      <c r="T144" t="s">
        <v>727</v>
      </c>
    </row>
    <row r="145" spans="1:20" ht="29" x14ac:dyDescent="0.35">
      <c r="A145" t="s">
        <v>221</v>
      </c>
      <c r="B145">
        <v>3.1422481128343311E-4</v>
      </c>
      <c r="C145">
        <v>2.46</v>
      </c>
      <c r="D145">
        <v>2.6405059185989899</v>
      </c>
      <c r="E145" t="s">
        <v>319</v>
      </c>
      <c r="F145" t="s">
        <v>353</v>
      </c>
      <c r="G145" s="15" t="s">
        <v>728</v>
      </c>
      <c r="H145" t="s">
        <v>355</v>
      </c>
      <c r="I145" t="s">
        <v>355</v>
      </c>
      <c r="J145" t="s">
        <v>356</v>
      </c>
      <c r="K145" t="s">
        <v>729</v>
      </c>
      <c r="L145">
        <v>3</v>
      </c>
      <c r="M145">
        <v>2</v>
      </c>
      <c r="N145">
        <v>1</v>
      </c>
      <c r="O145">
        <v>5</v>
      </c>
      <c r="P145">
        <v>6</v>
      </c>
      <c r="Q145">
        <v>4</v>
      </c>
      <c r="R145">
        <v>7</v>
      </c>
      <c r="T145" t="s">
        <v>730</v>
      </c>
    </row>
    <row r="146" spans="1:20" x14ac:dyDescent="0.35">
      <c r="A146" t="s">
        <v>222</v>
      </c>
      <c r="B146">
        <v>5.5978564367707637E-2</v>
      </c>
      <c r="C146">
        <v>-0.3</v>
      </c>
      <c r="D146">
        <v>1.16555861845305</v>
      </c>
      <c r="E146" t="s">
        <v>329</v>
      </c>
      <c r="F146" t="s">
        <v>371</v>
      </c>
      <c r="G146" s="15" t="s">
        <v>731</v>
      </c>
      <c r="H146" t="s">
        <v>355</v>
      </c>
      <c r="I146" t="s">
        <v>355</v>
      </c>
      <c r="J146" t="s">
        <v>356</v>
      </c>
      <c r="K146" t="s">
        <v>732</v>
      </c>
      <c r="L146">
        <v>5</v>
      </c>
      <c r="M146">
        <v>1</v>
      </c>
      <c r="N146">
        <v>2</v>
      </c>
      <c r="O146">
        <v>3</v>
      </c>
      <c r="P146">
        <v>4</v>
      </c>
      <c r="Q146">
        <v>7</v>
      </c>
      <c r="R146">
        <v>6</v>
      </c>
      <c r="S146" t="s">
        <v>733</v>
      </c>
      <c r="T146" t="s">
        <v>734</v>
      </c>
    </row>
    <row r="147" spans="1:20" x14ac:dyDescent="0.35">
      <c r="A147" t="s">
        <v>224</v>
      </c>
      <c r="B147">
        <v>1.004153552246072E-7</v>
      </c>
      <c r="C147">
        <v>1.5599999999999901</v>
      </c>
      <c r="D147">
        <v>1.9691908545484</v>
      </c>
      <c r="E147" t="s">
        <v>319</v>
      </c>
      <c r="F147" t="s">
        <v>353</v>
      </c>
      <c r="G147" s="15" t="s">
        <v>735</v>
      </c>
      <c r="H147" t="s">
        <v>355</v>
      </c>
      <c r="I147" t="s">
        <v>355</v>
      </c>
      <c r="J147" t="s">
        <v>356</v>
      </c>
      <c r="K147" t="s">
        <v>736</v>
      </c>
      <c r="L147">
        <v>3</v>
      </c>
      <c r="M147">
        <v>1</v>
      </c>
      <c r="N147">
        <v>5</v>
      </c>
      <c r="O147">
        <v>2</v>
      </c>
      <c r="P147">
        <v>7</v>
      </c>
      <c r="Q147">
        <v>6</v>
      </c>
      <c r="R147">
        <v>4</v>
      </c>
      <c r="S147" t="s">
        <v>737</v>
      </c>
      <c r="T147" t="s">
        <v>355</v>
      </c>
    </row>
    <row r="148" spans="1:20" x14ac:dyDescent="0.35">
      <c r="A148" t="s">
        <v>225</v>
      </c>
      <c r="B148">
        <v>0.86993757885799039</v>
      </c>
      <c r="C148">
        <v>-0.77999999999999903</v>
      </c>
      <c r="D148">
        <v>-6.0321063726284999E-2</v>
      </c>
      <c r="E148" t="s">
        <v>329</v>
      </c>
      <c r="F148" t="s">
        <v>353</v>
      </c>
      <c r="G148" s="15" t="s">
        <v>738</v>
      </c>
      <c r="H148" t="s">
        <v>355</v>
      </c>
      <c r="I148" t="s">
        <v>355</v>
      </c>
      <c r="J148" t="s">
        <v>365</v>
      </c>
      <c r="L148">
        <v>3</v>
      </c>
      <c r="M148">
        <v>6</v>
      </c>
      <c r="N148">
        <v>2</v>
      </c>
      <c r="O148">
        <v>1</v>
      </c>
      <c r="P148">
        <v>7</v>
      </c>
      <c r="Q148">
        <v>5</v>
      </c>
      <c r="R148">
        <v>4</v>
      </c>
      <c r="S148" t="s">
        <v>739</v>
      </c>
      <c r="T148" t="s">
        <v>740</v>
      </c>
    </row>
    <row r="149" spans="1:20" x14ac:dyDescent="0.35">
      <c r="A149" t="s">
        <v>227</v>
      </c>
      <c r="B149">
        <v>7.469640951146049E-2</v>
      </c>
      <c r="C149">
        <v>0.3</v>
      </c>
      <c r="D149">
        <v>0.585698070374574</v>
      </c>
      <c r="E149" t="s">
        <v>319</v>
      </c>
      <c r="F149" t="s">
        <v>353</v>
      </c>
      <c r="G149" s="15" t="s">
        <v>741</v>
      </c>
      <c r="H149" t="s">
        <v>742</v>
      </c>
      <c r="I149" t="s">
        <v>355</v>
      </c>
      <c r="J149" t="s">
        <v>511</v>
      </c>
      <c r="K149" t="s">
        <v>743</v>
      </c>
      <c r="L149">
        <v>1</v>
      </c>
      <c r="M149">
        <v>5</v>
      </c>
      <c r="N149">
        <v>4</v>
      </c>
      <c r="O149">
        <v>3</v>
      </c>
      <c r="P149">
        <v>2</v>
      </c>
      <c r="Q149">
        <v>6</v>
      </c>
      <c r="R149">
        <v>7</v>
      </c>
      <c r="S149" t="s">
        <v>355</v>
      </c>
      <c r="T149" t="s">
        <v>744</v>
      </c>
    </row>
    <row r="150" spans="1:20" x14ac:dyDescent="0.35">
      <c r="A150" t="s">
        <v>228</v>
      </c>
      <c r="B150">
        <v>6.5433985517167979E-3</v>
      </c>
      <c r="C150">
        <v>0.6</v>
      </c>
      <c r="D150">
        <v>0.89119507053672697</v>
      </c>
      <c r="E150" t="s">
        <v>319</v>
      </c>
      <c r="F150" t="s">
        <v>353</v>
      </c>
      <c r="G150" s="15" t="s">
        <v>745</v>
      </c>
      <c r="H150" t="s">
        <v>485</v>
      </c>
      <c r="I150" t="s">
        <v>485</v>
      </c>
      <c r="J150" t="s">
        <v>359</v>
      </c>
      <c r="L150">
        <v>1</v>
      </c>
      <c r="M150">
        <v>2</v>
      </c>
      <c r="N150">
        <v>3</v>
      </c>
      <c r="O150">
        <v>7</v>
      </c>
      <c r="P150">
        <v>6</v>
      </c>
      <c r="Q150">
        <v>5</v>
      </c>
      <c r="R150">
        <v>4</v>
      </c>
      <c r="S150" t="s">
        <v>746</v>
      </c>
      <c r="T150" t="s">
        <v>747</v>
      </c>
    </row>
    <row r="151" spans="1:20" x14ac:dyDescent="0.35">
      <c r="A151" t="s">
        <v>229</v>
      </c>
      <c r="B151">
        <v>4.0322125231588118E-5</v>
      </c>
      <c r="C151">
        <v>2.82</v>
      </c>
      <c r="D151">
        <v>1.9147073131182</v>
      </c>
      <c r="E151" t="s">
        <v>319</v>
      </c>
      <c r="F151" t="s">
        <v>353</v>
      </c>
      <c r="G151" s="15" t="s">
        <v>488</v>
      </c>
      <c r="H151" t="s">
        <v>355</v>
      </c>
      <c r="I151" t="s">
        <v>355</v>
      </c>
      <c r="J151" t="s">
        <v>380</v>
      </c>
      <c r="L151">
        <v>1</v>
      </c>
      <c r="M151">
        <v>3</v>
      </c>
      <c r="N151">
        <v>2</v>
      </c>
      <c r="O151">
        <v>5</v>
      </c>
      <c r="P151">
        <v>6</v>
      </c>
      <c r="Q151">
        <v>4</v>
      </c>
      <c r="R151">
        <v>7</v>
      </c>
      <c r="S151" t="s">
        <v>355</v>
      </c>
      <c r="T151" t="s">
        <v>373</v>
      </c>
    </row>
    <row r="152" spans="1:20" x14ac:dyDescent="0.35">
      <c r="A152" t="s">
        <v>230</v>
      </c>
      <c r="B152">
        <v>0.11362990359811161</v>
      </c>
      <c r="C152">
        <v>0.18</v>
      </c>
      <c r="D152">
        <v>-2.3350089184368299E-2</v>
      </c>
      <c r="E152" t="s">
        <v>319</v>
      </c>
      <c r="F152" t="s">
        <v>353</v>
      </c>
      <c r="G152" s="15" t="s">
        <v>748</v>
      </c>
      <c r="H152" t="s">
        <v>355</v>
      </c>
      <c r="I152" t="s">
        <v>355</v>
      </c>
      <c r="J152" t="s">
        <v>380</v>
      </c>
      <c r="L152">
        <v>2</v>
      </c>
      <c r="M152">
        <v>1</v>
      </c>
      <c r="N152">
        <v>4</v>
      </c>
      <c r="O152">
        <v>7</v>
      </c>
      <c r="P152">
        <v>5</v>
      </c>
      <c r="Q152">
        <v>3</v>
      </c>
      <c r="R152">
        <v>6</v>
      </c>
      <c r="S152" t="s">
        <v>355</v>
      </c>
      <c r="T152" t="s">
        <v>749</v>
      </c>
    </row>
    <row r="153" spans="1:20" ht="43.5" x14ac:dyDescent="0.35">
      <c r="A153" t="s">
        <v>231</v>
      </c>
      <c r="B153">
        <v>4.697862523227269E-2</v>
      </c>
      <c r="C153">
        <v>0.6</v>
      </c>
      <c r="D153">
        <v>0.56429382195556899</v>
      </c>
      <c r="E153" t="s">
        <v>319</v>
      </c>
      <c r="F153" t="s">
        <v>353</v>
      </c>
      <c r="G153" s="15" t="s">
        <v>750</v>
      </c>
      <c r="H153" t="s">
        <v>355</v>
      </c>
      <c r="I153" t="s">
        <v>751</v>
      </c>
      <c r="J153" t="s">
        <v>359</v>
      </c>
      <c r="L153">
        <v>2</v>
      </c>
      <c r="M153">
        <v>3</v>
      </c>
      <c r="N153">
        <v>1</v>
      </c>
      <c r="O153">
        <v>5</v>
      </c>
      <c r="P153">
        <v>7</v>
      </c>
      <c r="Q153">
        <v>4</v>
      </c>
      <c r="R153">
        <v>6</v>
      </c>
      <c r="S153" t="s">
        <v>373</v>
      </c>
      <c r="T153" t="s">
        <v>752</v>
      </c>
    </row>
    <row r="154" spans="1:20" ht="43.5" x14ac:dyDescent="0.35">
      <c r="A154" t="s">
        <v>233</v>
      </c>
      <c r="B154">
        <v>7.6641779123580054E-8</v>
      </c>
      <c r="C154">
        <v>6.4799999999999898</v>
      </c>
      <c r="D154">
        <v>6.6800713474947297</v>
      </c>
      <c r="E154" t="s">
        <v>319</v>
      </c>
      <c r="F154" t="s">
        <v>371</v>
      </c>
      <c r="G154" s="15" t="s">
        <v>383</v>
      </c>
      <c r="H154" s="15" t="s">
        <v>753</v>
      </c>
      <c r="I154" t="s">
        <v>355</v>
      </c>
      <c r="J154" t="s">
        <v>356</v>
      </c>
      <c r="K154" t="s">
        <v>373</v>
      </c>
      <c r="L154">
        <v>3</v>
      </c>
      <c r="M154">
        <v>1</v>
      </c>
      <c r="N154">
        <v>2</v>
      </c>
      <c r="O154">
        <v>4</v>
      </c>
      <c r="P154">
        <v>7</v>
      </c>
      <c r="Q154">
        <v>6</v>
      </c>
      <c r="R154">
        <v>5</v>
      </c>
      <c r="S154" t="s">
        <v>355</v>
      </c>
      <c r="T154" t="s">
        <v>355</v>
      </c>
    </row>
    <row r="155" spans="1:20" x14ac:dyDescent="0.35">
      <c r="A155" t="s">
        <v>234</v>
      </c>
      <c r="B155">
        <v>0.91578964644237182</v>
      </c>
      <c r="C155">
        <v>-0.06</v>
      </c>
      <c r="D155">
        <v>0.31911788551970099</v>
      </c>
      <c r="E155" t="s">
        <v>329</v>
      </c>
      <c r="F155" t="s">
        <v>353</v>
      </c>
      <c r="G155" s="15" t="s">
        <v>754</v>
      </c>
      <c r="H155" t="s">
        <v>355</v>
      </c>
      <c r="I155" t="s">
        <v>755</v>
      </c>
      <c r="J155" t="s">
        <v>380</v>
      </c>
      <c r="L155">
        <v>5</v>
      </c>
      <c r="M155">
        <v>1</v>
      </c>
      <c r="N155">
        <v>3</v>
      </c>
      <c r="O155">
        <v>7</v>
      </c>
      <c r="P155">
        <v>6</v>
      </c>
      <c r="Q155">
        <v>4</v>
      </c>
      <c r="R155">
        <v>2</v>
      </c>
      <c r="S155" t="s">
        <v>559</v>
      </c>
    </row>
    <row r="156" spans="1:20" x14ac:dyDescent="0.35">
      <c r="A156" t="s">
        <v>235</v>
      </c>
      <c r="B156">
        <v>1.399610611217845E-4</v>
      </c>
      <c r="C156">
        <v>1.0799999999999901</v>
      </c>
      <c r="D156">
        <v>0.82892816604507802</v>
      </c>
      <c r="E156" t="s">
        <v>319</v>
      </c>
      <c r="F156" t="s">
        <v>353</v>
      </c>
      <c r="G156" s="15" t="s">
        <v>756</v>
      </c>
      <c r="H156" t="s">
        <v>757</v>
      </c>
      <c r="I156" t="s">
        <v>758</v>
      </c>
      <c r="J156" t="s">
        <v>380</v>
      </c>
      <c r="L156">
        <v>4</v>
      </c>
      <c r="M156">
        <v>2</v>
      </c>
      <c r="N156">
        <v>5</v>
      </c>
      <c r="O156">
        <v>1</v>
      </c>
      <c r="P156">
        <v>3</v>
      </c>
      <c r="Q156">
        <v>6</v>
      </c>
      <c r="R156">
        <v>7</v>
      </c>
      <c r="S156" t="s">
        <v>759</v>
      </c>
      <c r="T156" t="s">
        <v>355</v>
      </c>
    </row>
    <row r="157" spans="1:20" x14ac:dyDescent="0.35">
      <c r="A157" t="s">
        <v>237</v>
      </c>
      <c r="B157">
        <v>1.287922839439479E-3</v>
      </c>
      <c r="C157">
        <v>1.8599999999999901</v>
      </c>
      <c r="D157">
        <v>2.6891519377330901</v>
      </c>
      <c r="E157" t="s">
        <v>319</v>
      </c>
      <c r="F157" t="s">
        <v>386</v>
      </c>
      <c r="G157" s="15" t="s">
        <v>373</v>
      </c>
      <c r="H157" t="s">
        <v>373</v>
      </c>
      <c r="I157" t="s">
        <v>760</v>
      </c>
      <c r="J157" t="s">
        <v>541</v>
      </c>
      <c r="L157">
        <v>5</v>
      </c>
      <c r="M157">
        <v>7</v>
      </c>
      <c r="N157">
        <v>6</v>
      </c>
      <c r="O157">
        <v>3</v>
      </c>
      <c r="P157">
        <v>2</v>
      </c>
      <c r="Q157">
        <v>1</v>
      </c>
      <c r="R157">
        <v>4</v>
      </c>
      <c r="S157" t="s">
        <v>355</v>
      </c>
      <c r="T157" t="s">
        <v>355</v>
      </c>
    </row>
    <row r="158" spans="1:20" x14ac:dyDescent="0.35">
      <c r="A158" t="s">
        <v>238</v>
      </c>
      <c r="B158">
        <v>2.310217426113822E-6</v>
      </c>
      <c r="C158">
        <v>2.94</v>
      </c>
      <c r="D158">
        <v>0.71606940165396404</v>
      </c>
      <c r="E158" t="s">
        <v>319</v>
      </c>
      <c r="F158" t="s">
        <v>353</v>
      </c>
      <c r="G158" s="15" t="s">
        <v>761</v>
      </c>
      <c r="H158" t="s">
        <v>355</v>
      </c>
      <c r="I158" t="s">
        <v>355</v>
      </c>
      <c r="J158" t="s">
        <v>380</v>
      </c>
      <c r="L158">
        <v>1</v>
      </c>
      <c r="M158">
        <v>3</v>
      </c>
      <c r="N158">
        <v>2</v>
      </c>
      <c r="O158">
        <v>4</v>
      </c>
      <c r="P158">
        <v>5</v>
      </c>
      <c r="Q158">
        <v>7</v>
      </c>
      <c r="R158">
        <v>6</v>
      </c>
      <c r="S158" t="s">
        <v>373</v>
      </c>
      <c r="T158" t="s">
        <v>373</v>
      </c>
    </row>
    <row r="159" spans="1:20" x14ac:dyDescent="0.35">
      <c r="A159" t="s">
        <v>239</v>
      </c>
      <c r="B159">
        <v>2.424111706123459E-2</v>
      </c>
      <c r="C159">
        <v>0.48</v>
      </c>
      <c r="D159">
        <v>0.99237879033565701</v>
      </c>
      <c r="E159" t="s">
        <v>319</v>
      </c>
      <c r="F159" t="s">
        <v>353</v>
      </c>
      <c r="G159" s="15" t="s">
        <v>762</v>
      </c>
      <c r="H159" t="s">
        <v>355</v>
      </c>
      <c r="I159" t="s">
        <v>355</v>
      </c>
      <c r="J159" t="s">
        <v>365</v>
      </c>
      <c r="L159">
        <v>3</v>
      </c>
      <c r="M159">
        <v>2</v>
      </c>
      <c r="N159">
        <v>4</v>
      </c>
      <c r="O159">
        <v>5</v>
      </c>
      <c r="P159">
        <v>1</v>
      </c>
      <c r="Q159">
        <v>6</v>
      </c>
      <c r="R159">
        <v>7</v>
      </c>
      <c r="S159" t="s">
        <v>355</v>
      </c>
      <c r="T159" t="s">
        <v>763</v>
      </c>
    </row>
    <row r="160" spans="1:20" x14ac:dyDescent="0.35">
      <c r="A160" t="s">
        <v>240</v>
      </c>
      <c r="B160">
        <v>0.1612587580587018</v>
      </c>
      <c r="C160">
        <v>-0.18</v>
      </c>
      <c r="D160">
        <v>0</v>
      </c>
      <c r="E160" t="s">
        <v>329</v>
      </c>
      <c r="F160" t="s">
        <v>386</v>
      </c>
      <c r="G160" s="15" t="s">
        <v>373</v>
      </c>
      <c r="H160" t="s">
        <v>408</v>
      </c>
      <c r="I160" t="s">
        <v>407</v>
      </c>
      <c r="J160" t="s">
        <v>464</v>
      </c>
      <c r="L160">
        <v>5</v>
      </c>
      <c r="M160">
        <v>1</v>
      </c>
      <c r="N160">
        <v>2</v>
      </c>
      <c r="O160">
        <v>6</v>
      </c>
      <c r="P160">
        <v>7</v>
      </c>
      <c r="Q160">
        <v>4</v>
      </c>
      <c r="R160">
        <v>3</v>
      </c>
      <c r="S160" t="s">
        <v>355</v>
      </c>
      <c r="T160" t="s">
        <v>355</v>
      </c>
    </row>
    <row r="161" spans="1:20" x14ac:dyDescent="0.35">
      <c r="A161" t="s">
        <v>241</v>
      </c>
      <c r="B161">
        <v>1.809535630040477E-2</v>
      </c>
      <c r="C161">
        <v>0.72</v>
      </c>
      <c r="D161">
        <v>1.11302091778822</v>
      </c>
      <c r="E161" t="s">
        <v>319</v>
      </c>
      <c r="F161" t="s">
        <v>353</v>
      </c>
      <c r="G161" s="15" t="s">
        <v>764</v>
      </c>
      <c r="H161" t="s">
        <v>355</v>
      </c>
      <c r="I161" t="s">
        <v>355</v>
      </c>
      <c r="L161">
        <v>1</v>
      </c>
      <c r="M161">
        <v>5</v>
      </c>
      <c r="N161">
        <v>4</v>
      </c>
      <c r="O161">
        <v>2</v>
      </c>
      <c r="P161">
        <v>6</v>
      </c>
      <c r="Q161">
        <v>3</v>
      </c>
      <c r="R161">
        <v>7</v>
      </c>
      <c r="S161" t="s">
        <v>765</v>
      </c>
      <c r="T161" t="s">
        <v>766</v>
      </c>
    </row>
    <row r="162" spans="1:20" x14ac:dyDescent="0.35">
      <c r="A162" t="s">
        <v>242</v>
      </c>
      <c r="B162">
        <v>2.5924944168854531E-5</v>
      </c>
      <c r="C162">
        <v>0.96</v>
      </c>
      <c r="D162">
        <v>0.94762445273228402</v>
      </c>
      <c r="E162" t="s">
        <v>319</v>
      </c>
      <c r="F162" t="s">
        <v>353</v>
      </c>
      <c r="G162" s="15" t="s">
        <v>767</v>
      </c>
      <c r="H162" t="s">
        <v>355</v>
      </c>
      <c r="I162" t="s">
        <v>355</v>
      </c>
      <c r="J162" t="s">
        <v>359</v>
      </c>
      <c r="L162">
        <v>6</v>
      </c>
      <c r="M162">
        <v>4</v>
      </c>
      <c r="N162">
        <v>3</v>
      </c>
      <c r="O162">
        <v>1</v>
      </c>
      <c r="P162">
        <v>2</v>
      </c>
      <c r="Q162">
        <v>5</v>
      </c>
      <c r="R162">
        <v>7</v>
      </c>
      <c r="S162" t="s">
        <v>373</v>
      </c>
      <c r="T162" t="s">
        <v>373</v>
      </c>
    </row>
    <row r="163" spans="1:20" x14ac:dyDescent="0.35">
      <c r="A163" t="s">
        <v>243</v>
      </c>
      <c r="B163">
        <v>0.2777839789550498</v>
      </c>
      <c r="C163">
        <v>-0.12</v>
      </c>
      <c r="D163">
        <v>-9.7292038268201694E-2</v>
      </c>
      <c r="E163" t="s">
        <v>329</v>
      </c>
      <c r="F163" t="s">
        <v>386</v>
      </c>
      <c r="G163" s="15" t="s">
        <v>387</v>
      </c>
      <c r="H163" t="s">
        <v>355</v>
      </c>
      <c r="I163" t="s">
        <v>355</v>
      </c>
      <c r="J163" t="s">
        <v>368</v>
      </c>
      <c r="K163" t="s">
        <v>768</v>
      </c>
      <c r="L163">
        <v>2</v>
      </c>
      <c r="M163">
        <v>4</v>
      </c>
      <c r="N163">
        <v>3</v>
      </c>
      <c r="O163">
        <v>1</v>
      </c>
      <c r="P163">
        <v>5</v>
      </c>
      <c r="Q163">
        <v>7</v>
      </c>
      <c r="R163">
        <v>6</v>
      </c>
      <c r="S163" t="s">
        <v>355</v>
      </c>
      <c r="T163" t="s">
        <v>355</v>
      </c>
    </row>
    <row r="164" spans="1:20" ht="29" x14ac:dyDescent="0.35">
      <c r="A164" t="s">
        <v>244</v>
      </c>
      <c r="B164">
        <v>0.1117608043337717</v>
      </c>
      <c r="C164">
        <v>0.65999999999999903</v>
      </c>
      <c r="D164">
        <v>0.97292038268201697</v>
      </c>
      <c r="E164" t="s">
        <v>319</v>
      </c>
      <c r="F164" t="s">
        <v>353</v>
      </c>
      <c r="G164" s="15" t="s">
        <v>769</v>
      </c>
      <c r="H164" t="s">
        <v>770</v>
      </c>
      <c r="I164" t="s">
        <v>628</v>
      </c>
      <c r="J164" t="s">
        <v>771</v>
      </c>
      <c r="K164" t="s">
        <v>772</v>
      </c>
      <c r="L164">
        <v>4</v>
      </c>
      <c r="M164">
        <v>5</v>
      </c>
      <c r="N164">
        <v>2</v>
      </c>
      <c r="O164">
        <v>6</v>
      </c>
      <c r="P164">
        <v>7</v>
      </c>
      <c r="Q164">
        <v>1</v>
      </c>
      <c r="R164">
        <v>3</v>
      </c>
      <c r="S164" t="s">
        <v>773</v>
      </c>
      <c r="T164" t="s">
        <v>774</v>
      </c>
    </row>
    <row r="165" spans="1:20" ht="43.5" x14ac:dyDescent="0.35">
      <c r="A165" t="s">
        <v>245</v>
      </c>
      <c r="B165">
        <v>1.71002751804743E-6</v>
      </c>
      <c r="C165">
        <v>0.77999999999999903</v>
      </c>
      <c r="D165">
        <v>1.1363710069725901</v>
      </c>
      <c r="E165" t="s">
        <v>319</v>
      </c>
      <c r="F165" t="s">
        <v>353</v>
      </c>
      <c r="G165" s="15" t="s">
        <v>775</v>
      </c>
      <c r="H165" t="s">
        <v>355</v>
      </c>
      <c r="I165" t="s">
        <v>361</v>
      </c>
      <c r="J165" t="s">
        <v>356</v>
      </c>
      <c r="K165" t="s">
        <v>776</v>
      </c>
      <c r="L165">
        <v>4</v>
      </c>
      <c r="M165">
        <v>1</v>
      </c>
      <c r="N165">
        <v>5</v>
      </c>
      <c r="O165">
        <v>6</v>
      </c>
      <c r="P165">
        <v>7</v>
      </c>
      <c r="Q165">
        <v>2</v>
      </c>
      <c r="R165">
        <v>3</v>
      </c>
      <c r="S165" t="s">
        <v>355</v>
      </c>
      <c r="T165" t="s">
        <v>355</v>
      </c>
    </row>
    <row r="166" spans="1:20" x14ac:dyDescent="0.35">
      <c r="A166" t="s">
        <v>246</v>
      </c>
      <c r="B166">
        <v>5.4246399241950141E-2</v>
      </c>
      <c r="C166">
        <v>0.65999999999999903</v>
      </c>
      <c r="D166">
        <v>0.66547754175449902</v>
      </c>
      <c r="E166" t="s">
        <v>319</v>
      </c>
      <c r="F166" t="s">
        <v>353</v>
      </c>
      <c r="G166" s="15" t="s">
        <v>777</v>
      </c>
      <c r="H166" t="s">
        <v>355</v>
      </c>
      <c r="I166" t="s">
        <v>355</v>
      </c>
      <c r="J166" t="s">
        <v>464</v>
      </c>
      <c r="L166">
        <v>2</v>
      </c>
      <c r="M166">
        <v>1</v>
      </c>
      <c r="N166">
        <v>3</v>
      </c>
      <c r="O166">
        <v>4</v>
      </c>
      <c r="P166">
        <v>7</v>
      </c>
      <c r="Q166">
        <v>6</v>
      </c>
      <c r="R166">
        <v>5</v>
      </c>
      <c r="S166" t="s">
        <v>778</v>
      </c>
    </row>
    <row r="167" spans="1:20" x14ac:dyDescent="0.35">
      <c r="A167" t="s">
        <v>247</v>
      </c>
      <c r="B167">
        <v>2.412741405754103E-3</v>
      </c>
      <c r="C167">
        <v>1.26</v>
      </c>
      <c r="D167">
        <v>1.4749473001459299</v>
      </c>
      <c r="E167" t="s">
        <v>319</v>
      </c>
      <c r="F167" t="s">
        <v>353</v>
      </c>
      <c r="G167" s="15" t="s">
        <v>779</v>
      </c>
      <c r="H167" t="s">
        <v>780</v>
      </c>
      <c r="I167" t="s">
        <v>683</v>
      </c>
      <c r="J167" t="s">
        <v>380</v>
      </c>
      <c r="L167">
        <v>1</v>
      </c>
      <c r="M167">
        <v>2</v>
      </c>
      <c r="N167">
        <v>6</v>
      </c>
      <c r="O167">
        <v>4</v>
      </c>
      <c r="P167">
        <v>3</v>
      </c>
      <c r="Q167">
        <v>5</v>
      </c>
      <c r="R167">
        <v>7</v>
      </c>
      <c r="S167" t="s">
        <v>387</v>
      </c>
      <c r="T167" t="s">
        <v>781</v>
      </c>
    </row>
    <row r="168" spans="1:20" x14ac:dyDescent="0.35">
      <c r="A168" t="s">
        <v>248</v>
      </c>
      <c r="B168">
        <v>1.3729723405793369E-6</v>
      </c>
      <c r="C168">
        <v>1.26</v>
      </c>
      <c r="D168">
        <v>1.0818874655424</v>
      </c>
      <c r="E168" t="s">
        <v>319</v>
      </c>
      <c r="F168" t="s">
        <v>353</v>
      </c>
      <c r="G168" s="15" t="s">
        <v>355</v>
      </c>
      <c r="H168" t="s">
        <v>355</v>
      </c>
      <c r="I168" t="s">
        <v>355</v>
      </c>
      <c r="J168" t="s">
        <v>365</v>
      </c>
      <c r="L168">
        <v>2</v>
      </c>
      <c r="M168">
        <v>1</v>
      </c>
      <c r="N168">
        <v>4</v>
      </c>
      <c r="O168">
        <v>3</v>
      </c>
      <c r="P168">
        <v>5</v>
      </c>
      <c r="Q168">
        <v>6</v>
      </c>
      <c r="R168">
        <v>7</v>
      </c>
      <c r="S168" t="s">
        <v>628</v>
      </c>
      <c r="T168" t="s">
        <v>628</v>
      </c>
    </row>
    <row r="169" spans="1:20" x14ac:dyDescent="0.35">
      <c r="A169" t="s">
        <v>249</v>
      </c>
      <c r="B169">
        <v>0.85001203269403591</v>
      </c>
      <c r="C169">
        <v>0.12</v>
      </c>
      <c r="D169">
        <v>0.659640019458407</v>
      </c>
      <c r="E169" t="s">
        <v>319</v>
      </c>
      <c r="F169" t="s">
        <v>353</v>
      </c>
      <c r="G169" s="15" t="s">
        <v>782</v>
      </c>
      <c r="H169" t="s">
        <v>355</v>
      </c>
      <c r="I169" t="s">
        <v>355</v>
      </c>
      <c r="J169" t="s">
        <v>380</v>
      </c>
      <c r="L169">
        <v>4</v>
      </c>
      <c r="M169">
        <v>1</v>
      </c>
      <c r="N169">
        <v>5</v>
      </c>
      <c r="O169">
        <v>2</v>
      </c>
      <c r="P169">
        <v>3</v>
      </c>
      <c r="Q169">
        <v>6</v>
      </c>
      <c r="R169">
        <v>7</v>
      </c>
      <c r="S169" t="s">
        <v>355</v>
      </c>
      <c r="T169" t="s">
        <v>355</v>
      </c>
    </row>
    <row r="170" spans="1:20" ht="29" x14ac:dyDescent="0.35">
      <c r="A170" t="s">
        <v>250</v>
      </c>
      <c r="B170">
        <v>3.7496834079397361E-5</v>
      </c>
      <c r="C170">
        <v>1.98</v>
      </c>
      <c r="D170" s="7">
        <v>3.2437165558618402</v>
      </c>
      <c r="E170" t="s">
        <v>319</v>
      </c>
      <c r="F170" t="s">
        <v>371</v>
      </c>
      <c r="G170" s="15" t="s">
        <v>783</v>
      </c>
      <c r="H170" t="s">
        <v>355</v>
      </c>
      <c r="I170" t="s">
        <v>628</v>
      </c>
      <c r="J170" t="s">
        <v>359</v>
      </c>
      <c r="L170">
        <v>7</v>
      </c>
      <c r="M170">
        <v>2</v>
      </c>
      <c r="N170">
        <v>5</v>
      </c>
      <c r="O170">
        <v>3</v>
      </c>
      <c r="P170">
        <v>1</v>
      </c>
      <c r="Q170">
        <v>4</v>
      </c>
      <c r="R170">
        <v>6</v>
      </c>
      <c r="S170" t="s">
        <v>355</v>
      </c>
      <c r="T170" t="s">
        <v>784</v>
      </c>
    </row>
    <row r="171" spans="1:20" x14ac:dyDescent="0.35">
      <c r="A171" t="s">
        <v>251</v>
      </c>
      <c r="B171">
        <v>2.0246114098565761E-4</v>
      </c>
      <c r="C171">
        <v>4.74</v>
      </c>
      <c r="D171">
        <v>3.0724825685098098</v>
      </c>
      <c r="E171" t="s">
        <v>319</v>
      </c>
      <c r="F171" t="s">
        <v>371</v>
      </c>
      <c r="G171" s="15" t="s">
        <v>785</v>
      </c>
      <c r="H171" s="15" t="s">
        <v>397</v>
      </c>
      <c r="I171" t="s">
        <v>786</v>
      </c>
      <c r="J171" t="s">
        <v>359</v>
      </c>
      <c r="L171">
        <v>1</v>
      </c>
      <c r="M171">
        <v>3</v>
      </c>
      <c r="N171">
        <v>2</v>
      </c>
      <c r="O171">
        <v>4</v>
      </c>
      <c r="P171">
        <v>6</v>
      </c>
      <c r="Q171">
        <v>5</v>
      </c>
      <c r="R171">
        <v>7</v>
      </c>
      <c r="T171" t="s">
        <v>787</v>
      </c>
    </row>
    <row r="172" spans="1:20" x14ac:dyDescent="0.35">
      <c r="A172" t="s">
        <v>252</v>
      </c>
      <c r="B172">
        <v>1.4206121685891271E-4</v>
      </c>
      <c r="C172">
        <v>2.2799999999999998</v>
      </c>
      <c r="D172">
        <v>2.3525214853251102</v>
      </c>
      <c r="E172" t="s">
        <v>319</v>
      </c>
      <c r="F172" t="s">
        <v>353</v>
      </c>
      <c r="G172" s="15" t="s">
        <v>788</v>
      </c>
      <c r="H172" t="s">
        <v>355</v>
      </c>
      <c r="I172" t="s">
        <v>789</v>
      </c>
      <c r="J172" t="s">
        <v>356</v>
      </c>
      <c r="K172" t="s">
        <v>790</v>
      </c>
      <c r="L172">
        <v>1</v>
      </c>
      <c r="M172">
        <v>2</v>
      </c>
      <c r="N172">
        <v>5</v>
      </c>
      <c r="O172">
        <v>4</v>
      </c>
      <c r="P172">
        <v>6</v>
      </c>
      <c r="Q172">
        <v>7</v>
      </c>
      <c r="R172">
        <v>3</v>
      </c>
      <c r="S172" t="s">
        <v>355</v>
      </c>
      <c r="T172" t="s">
        <v>791</v>
      </c>
    </row>
    <row r="173" spans="1:20" x14ac:dyDescent="0.35">
      <c r="A173" t="s">
        <v>253</v>
      </c>
      <c r="B173">
        <v>5.3495535185826918E-5</v>
      </c>
      <c r="C173">
        <v>7.14</v>
      </c>
      <c r="D173">
        <v>6.7890384303551103</v>
      </c>
      <c r="E173" t="s">
        <v>319</v>
      </c>
      <c r="F173" t="s">
        <v>371</v>
      </c>
      <c r="G173" s="15" t="s">
        <v>792</v>
      </c>
      <c r="H173" s="15" t="s">
        <v>355</v>
      </c>
      <c r="I173" t="s">
        <v>355</v>
      </c>
      <c r="J173" t="s">
        <v>365</v>
      </c>
      <c r="L173">
        <v>5</v>
      </c>
      <c r="M173">
        <v>1</v>
      </c>
      <c r="N173">
        <v>2</v>
      </c>
      <c r="O173">
        <v>6</v>
      </c>
      <c r="P173">
        <v>4</v>
      </c>
      <c r="Q173">
        <v>7</v>
      </c>
      <c r="R173">
        <v>3</v>
      </c>
      <c r="S173" t="s">
        <v>355</v>
      </c>
      <c r="T173" t="s">
        <v>793</v>
      </c>
    </row>
    <row r="174" spans="1:20" x14ac:dyDescent="0.35">
      <c r="A174" t="s">
        <v>254</v>
      </c>
      <c r="B174">
        <v>0.42168807631502259</v>
      </c>
      <c r="C174">
        <v>0.06</v>
      </c>
      <c r="D174">
        <v>9.34003567374736E-2</v>
      </c>
      <c r="E174" t="s">
        <v>319</v>
      </c>
      <c r="F174" t="s">
        <v>353</v>
      </c>
      <c r="G174" s="15" t="s">
        <v>794</v>
      </c>
      <c r="H174" t="s">
        <v>355</v>
      </c>
      <c r="I174" t="s">
        <v>355</v>
      </c>
      <c r="J174" t="s">
        <v>356</v>
      </c>
      <c r="K174" t="s">
        <v>795</v>
      </c>
      <c r="L174">
        <v>3</v>
      </c>
      <c r="M174">
        <v>4</v>
      </c>
      <c r="N174">
        <v>5</v>
      </c>
      <c r="O174">
        <v>1</v>
      </c>
      <c r="P174">
        <v>2</v>
      </c>
      <c r="Q174">
        <v>7</v>
      </c>
      <c r="R174">
        <v>6</v>
      </c>
      <c r="S174" t="s">
        <v>446</v>
      </c>
      <c r="T174" t="s">
        <v>796</v>
      </c>
    </row>
    <row r="175" spans="1:20" x14ac:dyDescent="0.35">
      <c r="A175" t="s">
        <v>255</v>
      </c>
      <c r="B175">
        <v>0.93566400209645029</v>
      </c>
      <c r="C175">
        <v>0.06</v>
      </c>
      <c r="D175">
        <v>0.84449489216799001</v>
      </c>
      <c r="E175" t="s">
        <v>319</v>
      </c>
      <c r="F175" t="s">
        <v>386</v>
      </c>
      <c r="G175" s="15" t="s">
        <v>373</v>
      </c>
      <c r="H175" t="s">
        <v>355</v>
      </c>
      <c r="I175" t="s">
        <v>355</v>
      </c>
      <c r="J175" t="s">
        <v>380</v>
      </c>
      <c r="L175">
        <v>1</v>
      </c>
      <c r="M175">
        <v>4</v>
      </c>
      <c r="N175">
        <v>3</v>
      </c>
      <c r="O175">
        <v>2</v>
      </c>
      <c r="P175">
        <v>5</v>
      </c>
      <c r="Q175">
        <v>6</v>
      </c>
      <c r="R175">
        <v>7</v>
      </c>
      <c r="S175" t="s">
        <v>373</v>
      </c>
      <c r="T175" t="s">
        <v>797</v>
      </c>
    </row>
    <row r="176" spans="1:20" x14ac:dyDescent="0.35">
      <c r="A176" t="s">
        <v>256</v>
      </c>
      <c r="B176">
        <v>9.8522912393511439E-3</v>
      </c>
      <c r="C176">
        <v>0.53999999999999904</v>
      </c>
      <c r="D176">
        <v>0.860061618290903</v>
      </c>
      <c r="E176" t="s">
        <v>319</v>
      </c>
      <c r="F176" t="s">
        <v>353</v>
      </c>
      <c r="G176" s="15" t="s">
        <v>798</v>
      </c>
      <c r="H176" t="s">
        <v>355</v>
      </c>
      <c r="I176" t="s">
        <v>355</v>
      </c>
      <c r="J176" t="s">
        <v>541</v>
      </c>
      <c r="L176">
        <v>1</v>
      </c>
      <c r="M176">
        <v>3</v>
      </c>
      <c r="N176">
        <v>7</v>
      </c>
      <c r="O176">
        <v>4</v>
      </c>
      <c r="P176">
        <v>2</v>
      </c>
      <c r="Q176">
        <v>6</v>
      </c>
      <c r="R176">
        <v>5</v>
      </c>
      <c r="S176" t="s">
        <v>799</v>
      </c>
      <c r="T176" t="s">
        <v>355</v>
      </c>
    </row>
    <row r="177" spans="1:20" x14ac:dyDescent="0.35">
      <c r="A177" t="s">
        <v>257</v>
      </c>
      <c r="C177">
        <v>0</v>
      </c>
      <c r="D177">
        <v>0</v>
      </c>
      <c r="E177" t="s">
        <v>328</v>
      </c>
      <c r="F177" t="s">
        <v>353</v>
      </c>
      <c r="G177" s="15" t="s">
        <v>800</v>
      </c>
      <c r="H177" t="s">
        <v>408</v>
      </c>
      <c r="I177" t="s">
        <v>801</v>
      </c>
      <c r="J177" t="s">
        <v>511</v>
      </c>
      <c r="K177" t="s">
        <v>802</v>
      </c>
      <c r="L177">
        <v>1</v>
      </c>
      <c r="M177">
        <v>5</v>
      </c>
      <c r="N177">
        <v>3</v>
      </c>
      <c r="O177">
        <v>6</v>
      </c>
      <c r="P177">
        <v>2</v>
      </c>
      <c r="Q177">
        <v>7</v>
      </c>
      <c r="R177">
        <v>4</v>
      </c>
      <c r="S177" t="s">
        <v>373</v>
      </c>
      <c r="T177" t="s">
        <v>803</v>
      </c>
    </row>
    <row r="178" spans="1:20" x14ac:dyDescent="0.35">
      <c r="A178" t="s">
        <v>258</v>
      </c>
      <c r="B178">
        <v>1.071949451994216E-2</v>
      </c>
      <c r="C178">
        <v>3.54</v>
      </c>
      <c r="D178">
        <v>3.8741689638397898</v>
      </c>
      <c r="E178" t="s">
        <v>319</v>
      </c>
      <c r="F178" t="s">
        <v>353</v>
      </c>
      <c r="G178" s="15" t="s">
        <v>804</v>
      </c>
      <c r="H178" s="15" t="s">
        <v>424</v>
      </c>
      <c r="I178" t="s">
        <v>424</v>
      </c>
      <c r="J178" t="s">
        <v>541</v>
      </c>
      <c r="L178">
        <v>2</v>
      </c>
      <c r="M178">
        <v>5</v>
      </c>
      <c r="N178">
        <v>1</v>
      </c>
      <c r="O178">
        <v>3</v>
      </c>
      <c r="P178">
        <v>6</v>
      </c>
      <c r="Q178">
        <v>7</v>
      </c>
      <c r="R178">
        <v>4</v>
      </c>
      <c r="S178" t="s">
        <v>805</v>
      </c>
      <c r="T178" t="s">
        <v>806</v>
      </c>
    </row>
    <row r="179" spans="1:20" ht="29" x14ac:dyDescent="0.35">
      <c r="A179" t="s">
        <v>259</v>
      </c>
      <c r="B179">
        <v>0.55408933333230592</v>
      </c>
      <c r="C179">
        <v>0.06</v>
      </c>
      <c r="D179">
        <v>0.99432463110102098</v>
      </c>
      <c r="E179" t="s">
        <v>319</v>
      </c>
      <c r="F179" t="s">
        <v>371</v>
      </c>
      <c r="G179" s="15" t="s">
        <v>807</v>
      </c>
      <c r="H179" t="s">
        <v>355</v>
      </c>
      <c r="I179" t="s">
        <v>355</v>
      </c>
      <c r="L179">
        <v>1</v>
      </c>
      <c r="M179">
        <v>2</v>
      </c>
      <c r="N179">
        <v>4</v>
      </c>
      <c r="O179">
        <v>7</v>
      </c>
      <c r="P179">
        <v>3</v>
      </c>
      <c r="Q179">
        <v>5</v>
      </c>
      <c r="R179">
        <v>6</v>
      </c>
      <c r="S179" t="s">
        <v>355</v>
      </c>
      <c r="T179" t="s">
        <v>355</v>
      </c>
    </row>
    <row r="180" spans="1:20" ht="29" x14ac:dyDescent="0.35">
      <c r="A180" t="s">
        <v>260</v>
      </c>
      <c r="B180">
        <v>1.101369904345374E-5</v>
      </c>
      <c r="C180">
        <v>1.26</v>
      </c>
      <c r="D180">
        <v>1.23950056753688</v>
      </c>
      <c r="E180" t="s">
        <v>319</v>
      </c>
      <c r="F180" t="s">
        <v>353</v>
      </c>
      <c r="G180" s="15" t="s">
        <v>808</v>
      </c>
      <c r="H180" t="s">
        <v>355</v>
      </c>
      <c r="I180" t="s">
        <v>355</v>
      </c>
      <c r="J180" t="s">
        <v>365</v>
      </c>
      <c r="L180">
        <v>1</v>
      </c>
      <c r="M180">
        <v>2</v>
      </c>
      <c r="N180">
        <v>4</v>
      </c>
      <c r="O180">
        <v>6</v>
      </c>
      <c r="P180">
        <v>7</v>
      </c>
      <c r="Q180">
        <v>3</v>
      </c>
      <c r="R180">
        <v>5</v>
      </c>
      <c r="S180" t="s">
        <v>355</v>
      </c>
      <c r="T180" t="s">
        <v>809</v>
      </c>
    </row>
    <row r="181" spans="1:20" ht="43.5" x14ac:dyDescent="0.35">
      <c r="A181" t="s">
        <v>261</v>
      </c>
      <c r="B181">
        <v>1.5130803199218249E-2</v>
      </c>
      <c r="C181">
        <v>0.18</v>
      </c>
      <c r="D181">
        <v>0.33857629317334198</v>
      </c>
      <c r="E181" t="s">
        <v>319</v>
      </c>
      <c r="F181" t="s">
        <v>353</v>
      </c>
      <c r="G181" s="15" t="s">
        <v>810</v>
      </c>
      <c r="H181" t="s">
        <v>355</v>
      </c>
      <c r="I181" t="s">
        <v>355</v>
      </c>
      <c r="J181" t="s">
        <v>409</v>
      </c>
      <c r="K181" t="s">
        <v>811</v>
      </c>
      <c r="L181">
        <v>3</v>
      </c>
      <c r="M181">
        <v>6</v>
      </c>
      <c r="N181">
        <v>2</v>
      </c>
      <c r="O181">
        <v>4</v>
      </c>
      <c r="P181">
        <v>1</v>
      </c>
      <c r="Q181">
        <v>7</v>
      </c>
      <c r="R181">
        <v>5</v>
      </c>
      <c r="S181" t="s">
        <v>812</v>
      </c>
      <c r="T181" t="s">
        <v>813</v>
      </c>
    </row>
    <row r="182" spans="1:20" x14ac:dyDescent="0.35">
      <c r="A182" t="s">
        <v>263</v>
      </c>
      <c r="B182">
        <v>1.690947694693287E-3</v>
      </c>
      <c r="C182">
        <v>0.96</v>
      </c>
      <c r="D182">
        <v>1.6870439435706099</v>
      </c>
      <c r="E182" t="s">
        <v>319</v>
      </c>
      <c r="F182" t="s">
        <v>353</v>
      </c>
      <c r="G182" s="15" t="s">
        <v>814</v>
      </c>
      <c r="H182" t="s">
        <v>355</v>
      </c>
      <c r="I182" t="s">
        <v>355</v>
      </c>
      <c r="J182" t="s">
        <v>356</v>
      </c>
      <c r="K182" t="s">
        <v>815</v>
      </c>
      <c r="L182">
        <v>7</v>
      </c>
      <c r="M182">
        <v>3</v>
      </c>
      <c r="N182">
        <v>1</v>
      </c>
      <c r="O182">
        <v>2</v>
      </c>
      <c r="P182">
        <v>4</v>
      </c>
      <c r="Q182">
        <v>6</v>
      </c>
      <c r="R182">
        <v>5</v>
      </c>
      <c r="S182" t="s">
        <v>355</v>
      </c>
      <c r="T182" t="s">
        <v>816</v>
      </c>
    </row>
    <row r="183" spans="1:20" ht="58" x14ac:dyDescent="0.35">
      <c r="A183" t="s">
        <v>264</v>
      </c>
      <c r="B183">
        <v>5.7493762815631719E-2</v>
      </c>
      <c r="C183">
        <v>0.12</v>
      </c>
      <c r="D183">
        <v>0.30160531863142498</v>
      </c>
      <c r="E183" t="s">
        <v>319</v>
      </c>
      <c r="F183" t="s">
        <v>353</v>
      </c>
      <c r="G183" s="15" t="s">
        <v>817</v>
      </c>
      <c r="H183" t="s">
        <v>818</v>
      </c>
      <c r="I183" t="s">
        <v>818</v>
      </c>
      <c r="J183" t="s">
        <v>356</v>
      </c>
      <c r="K183" t="s">
        <v>819</v>
      </c>
      <c r="L183">
        <v>4</v>
      </c>
      <c r="M183">
        <v>6</v>
      </c>
      <c r="N183">
        <v>1</v>
      </c>
      <c r="O183">
        <v>2</v>
      </c>
      <c r="P183">
        <v>5</v>
      </c>
      <c r="Q183">
        <v>3</v>
      </c>
      <c r="R183">
        <v>7</v>
      </c>
    </row>
    <row r="184" spans="1:20" ht="58" x14ac:dyDescent="0.35">
      <c r="A184" t="s">
        <v>265</v>
      </c>
      <c r="B184">
        <v>0.36284455366311441</v>
      </c>
      <c r="C184">
        <v>0.6</v>
      </c>
      <c r="D184">
        <v>0.55261877736338505</v>
      </c>
      <c r="E184" t="s">
        <v>319</v>
      </c>
      <c r="F184" t="s">
        <v>353</v>
      </c>
      <c r="G184" s="15" t="s">
        <v>820</v>
      </c>
      <c r="H184" t="s">
        <v>821</v>
      </c>
      <c r="I184" t="s">
        <v>822</v>
      </c>
      <c r="J184" t="s">
        <v>356</v>
      </c>
      <c r="K184" t="s">
        <v>823</v>
      </c>
      <c r="L184">
        <v>1</v>
      </c>
      <c r="M184">
        <v>2</v>
      </c>
      <c r="N184">
        <v>3</v>
      </c>
      <c r="O184">
        <v>5</v>
      </c>
      <c r="P184">
        <v>6</v>
      </c>
      <c r="Q184">
        <v>4</v>
      </c>
      <c r="R184">
        <v>7</v>
      </c>
      <c r="S184" t="s">
        <v>824</v>
      </c>
      <c r="T184" t="s">
        <v>825</v>
      </c>
    </row>
    <row r="185" spans="1:20" ht="29" x14ac:dyDescent="0.35">
      <c r="A185" t="s">
        <v>266</v>
      </c>
      <c r="B185">
        <v>9.2848551869246593E-2</v>
      </c>
      <c r="C185">
        <v>0.72</v>
      </c>
      <c r="D185">
        <v>1.0779957840116701</v>
      </c>
      <c r="E185" t="s">
        <v>319</v>
      </c>
      <c r="F185" t="s">
        <v>353</v>
      </c>
      <c r="G185" s="15" t="s">
        <v>826</v>
      </c>
      <c r="H185" t="s">
        <v>355</v>
      </c>
      <c r="I185" t="s">
        <v>355</v>
      </c>
      <c r="J185" t="s">
        <v>409</v>
      </c>
      <c r="K185" t="s">
        <v>827</v>
      </c>
      <c r="L185">
        <v>1</v>
      </c>
      <c r="M185">
        <v>2</v>
      </c>
      <c r="N185">
        <v>3</v>
      </c>
      <c r="O185">
        <v>7</v>
      </c>
      <c r="P185">
        <v>6</v>
      </c>
      <c r="Q185">
        <v>4</v>
      </c>
      <c r="R185">
        <v>5</v>
      </c>
      <c r="S185" t="s">
        <v>828</v>
      </c>
      <c r="T185" t="s">
        <v>829</v>
      </c>
    </row>
    <row r="186" spans="1:20" x14ac:dyDescent="0.35">
      <c r="A186" t="s">
        <v>267</v>
      </c>
      <c r="B186">
        <v>6.0035784907287483E-2</v>
      </c>
      <c r="C186">
        <v>0.48</v>
      </c>
      <c r="D186">
        <v>0.86589914058699502</v>
      </c>
      <c r="E186" t="s">
        <v>319</v>
      </c>
      <c r="F186" t="s">
        <v>386</v>
      </c>
      <c r="G186" s="15" t="s">
        <v>830</v>
      </c>
      <c r="H186" t="s">
        <v>355</v>
      </c>
      <c r="I186" t="s">
        <v>355</v>
      </c>
      <c r="J186" t="s">
        <v>356</v>
      </c>
      <c r="K186" t="s">
        <v>831</v>
      </c>
      <c r="L186">
        <v>6</v>
      </c>
      <c r="M186">
        <v>3</v>
      </c>
      <c r="N186">
        <v>1</v>
      </c>
      <c r="O186">
        <v>7</v>
      </c>
      <c r="P186">
        <v>2</v>
      </c>
      <c r="Q186">
        <v>4</v>
      </c>
      <c r="R186">
        <v>5</v>
      </c>
      <c r="S186" t="s">
        <v>355</v>
      </c>
      <c r="T186" t="s">
        <v>355</v>
      </c>
    </row>
    <row r="187" spans="1:20" ht="29" x14ac:dyDescent="0.35">
      <c r="A187" t="s">
        <v>268</v>
      </c>
      <c r="B187">
        <v>7.5755827147940401E-5</v>
      </c>
      <c r="C187">
        <v>4.92</v>
      </c>
      <c r="D187">
        <v>4.87043943570617</v>
      </c>
      <c r="E187" t="s">
        <v>319</v>
      </c>
      <c r="F187" t="s">
        <v>371</v>
      </c>
      <c r="G187" s="15" t="s">
        <v>832</v>
      </c>
      <c r="H187" s="15" t="s">
        <v>355</v>
      </c>
      <c r="I187" t="s">
        <v>355</v>
      </c>
      <c r="J187" t="s">
        <v>409</v>
      </c>
      <c r="K187" t="s">
        <v>833</v>
      </c>
      <c r="L187">
        <v>6</v>
      </c>
      <c r="M187">
        <v>7</v>
      </c>
      <c r="N187">
        <v>5</v>
      </c>
      <c r="O187">
        <v>3</v>
      </c>
      <c r="P187">
        <v>2</v>
      </c>
      <c r="Q187">
        <v>1</v>
      </c>
      <c r="R187">
        <v>4</v>
      </c>
      <c r="S187" t="s">
        <v>355</v>
      </c>
      <c r="T187" t="s">
        <v>834</v>
      </c>
    </row>
    <row r="188" spans="1:20" x14ac:dyDescent="0.35">
      <c r="A188" t="s">
        <v>269</v>
      </c>
      <c r="B188">
        <v>6.2619112925576162E-2</v>
      </c>
      <c r="C188">
        <v>0.72</v>
      </c>
      <c r="D188">
        <v>1.29787579049781</v>
      </c>
      <c r="E188" t="s">
        <v>319</v>
      </c>
      <c r="F188" t="s">
        <v>353</v>
      </c>
      <c r="G188" s="15" t="s">
        <v>835</v>
      </c>
      <c r="H188" t="s">
        <v>355</v>
      </c>
      <c r="I188" t="s">
        <v>355</v>
      </c>
      <c r="J188" t="s">
        <v>365</v>
      </c>
      <c r="L188">
        <v>1</v>
      </c>
      <c r="M188">
        <v>2</v>
      </c>
      <c r="N188">
        <v>5</v>
      </c>
      <c r="O188">
        <v>6</v>
      </c>
      <c r="P188">
        <v>7</v>
      </c>
      <c r="Q188">
        <v>3</v>
      </c>
      <c r="R188">
        <v>4</v>
      </c>
      <c r="S188" t="s">
        <v>387</v>
      </c>
      <c r="T188" t="s">
        <v>836</v>
      </c>
    </row>
    <row r="189" spans="1:20" ht="29" x14ac:dyDescent="0.35">
      <c r="A189" t="s">
        <v>271</v>
      </c>
      <c r="B189">
        <v>0.29894920913661188</v>
      </c>
      <c r="C189">
        <v>0.12</v>
      </c>
      <c r="D189">
        <v>0.470893465218096</v>
      </c>
      <c r="E189" t="s">
        <v>319</v>
      </c>
      <c r="F189" t="s">
        <v>353</v>
      </c>
      <c r="G189" s="15" t="s">
        <v>837</v>
      </c>
      <c r="H189" t="s">
        <v>387</v>
      </c>
      <c r="I189" t="s">
        <v>387</v>
      </c>
      <c r="J189" t="s">
        <v>380</v>
      </c>
      <c r="L189">
        <v>3</v>
      </c>
      <c r="M189">
        <v>4</v>
      </c>
      <c r="N189">
        <v>5</v>
      </c>
      <c r="O189">
        <v>6</v>
      </c>
      <c r="P189">
        <v>1</v>
      </c>
      <c r="Q189">
        <v>7</v>
      </c>
      <c r="R189">
        <v>2</v>
      </c>
      <c r="S189" t="s">
        <v>373</v>
      </c>
      <c r="T189" t="s">
        <v>838</v>
      </c>
    </row>
    <row r="190" spans="1:20" ht="43.5" x14ac:dyDescent="0.35">
      <c r="A190" t="s">
        <v>272</v>
      </c>
      <c r="B190">
        <v>3.4763996041476022E-2</v>
      </c>
      <c r="C190">
        <v>0</v>
      </c>
      <c r="D190">
        <v>-0.21015080265931499</v>
      </c>
      <c r="E190" t="s">
        <v>328</v>
      </c>
      <c r="F190" t="s">
        <v>353</v>
      </c>
      <c r="G190" s="15" t="s">
        <v>839</v>
      </c>
      <c r="H190" t="s">
        <v>485</v>
      </c>
      <c r="I190" t="s">
        <v>485</v>
      </c>
      <c r="J190" t="s">
        <v>541</v>
      </c>
      <c r="L190">
        <v>1</v>
      </c>
      <c r="M190">
        <v>3</v>
      </c>
      <c r="N190">
        <v>6</v>
      </c>
      <c r="O190">
        <v>2</v>
      </c>
      <c r="P190">
        <v>7</v>
      </c>
      <c r="Q190">
        <v>5</v>
      </c>
      <c r="R190">
        <v>4</v>
      </c>
      <c r="S190" t="s">
        <v>485</v>
      </c>
      <c r="T190" t="s">
        <v>840</v>
      </c>
    </row>
    <row r="191" spans="1:20" x14ac:dyDescent="0.35">
      <c r="A191" t="s">
        <v>273</v>
      </c>
      <c r="B191">
        <v>2.2392678334068981E-6</v>
      </c>
      <c r="C191">
        <v>6.18</v>
      </c>
      <c r="D191">
        <v>10.102805253770001</v>
      </c>
      <c r="E191" t="s">
        <v>319</v>
      </c>
      <c r="F191" t="s">
        <v>371</v>
      </c>
      <c r="G191" s="15" t="s">
        <v>841</v>
      </c>
      <c r="H191" s="15" t="s">
        <v>355</v>
      </c>
      <c r="I191" t="s">
        <v>355</v>
      </c>
      <c r="J191" t="s">
        <v>541</v>
      </c>
      <c r="L191">
        <v>2</v>
      </c>
      <c r="M191">
        <v>1</v>
      </c>
      <c r="N191">
        <v>5</v>
      </c>
      <c r="O191">
        <v>4</v>
      </c>
      <c r="P191">
        <v>3</v>
      </c>
      <c r="Q191">
        <v>6</v>
      </c>
      <c r="R191">
        <v>7</v>
      </c>
      <c r="S191" t="s">
        <v>355</v>
      </c>
      <c r="T191" t="s">
        <v>355</v>
      </c>
    </row>
    <row r="192" spans="1:20" ht="43.5" x14ac:dyDescent="0.35">
      <c r="A192" t="s">
        <v>274</v>
      </c>
      <c r="B192">
        <v>3.6176914031809109E-7</v>
      </c>
      <c r="C192">
        <v>3.0599999999999898</v>
      </c>
      <c r="D192">
        <v>2.7047186638560001</v>
      </c>
      <c r="E192" t="s">
        <v>319</v>
      </c>
      <c r="F192" t="s">
        <v>371</v>
      </c>
      <c r="G192" s="15" t="s">
        <v>842</v>
      </c>
      <c r="H192" t="s">
        <v>355</v>
      </c>
      <c r="I192" t="s">
        <v>355</v>
      </c>
      <c r="J192" t="s">
        <v>365</v>
      </c>
      <c r="L192">
        <v>3</v>
      </c>
      <c r="M192">
        <v>1</v>
      </c>
      <c r="N192">
        <v>2</v>
      </c>
      <c r="O192">
        <v>5</v>
      </c>
      <c r="P192">
        <v>4</v>
      </c>
      <c r="Q192">
        <v>6</v>
      </c>
      <c r="R192">
        <v>7</v>
      </c>
      <c r="S192" t="s">
        <v>843</v>
      </c>
      <c r="T192" t="s">
        <v>844</v>
      </c>
    </row>
    <row r="193" spans="1:20" ht="29" x14ac:dyDescent="0.35">
      <c r="A193" t="s">
        <v>275</v>
      </c>
      <c r="B193" s="13">
        <v>0.90161746224292605</v>
      </c>
      <c r="C193">
        <v>0.24</v>
      </c>
      <c r="D193">
        <v>2.1968542240959898</v>
      </c>
      <c r="E193" t="s">
        <v>319</v>
      </c>
      <c r="F193" t="s">
        <v>353</v>
      </c>
      <c r="G193" s="15" t="s">
        <v>845</v>
      </c>
      <c r="H193" t="s">
        <v>408</v>
      </c>
      <c r="I193" t="s">
        <v>407</v>
      </c>
      <c r="J193" t="s">
        <v>365</v>
      </c>
      <c r="L193">
        <v>1</v>
      </c>
      <c r="M193">
        <v>4</v>
      </c>
      <c r="N193">
        <v>2</v>
      </c>
      <c r="O193">
        <v>5</v>
      </c>
      <c r="P193">
        <v>7</v>
      </c>
      <c r="Q193">
        <v>3</v>
      </c>
      <c r="R193">
        <v>6</v>
      </c>
      <c r="S193" t="s">
        <v>393</v>
      </c>
      <c r="T193" t="s">
        <v>846</v>
      </c>
    </row>
    <row r="194" spans="1:20" x14ac:dyDescent="0.35">
      <c r="A194" t="s">
        <v>276</v>
      </c>
      <c r="B194">
        <v>1.6681498541716539E-4</v>
      </c>
      <c r="C194">
        <v>1.74</v>
      </c>
      <c r="D194">
        <v>2.8973568996270398</v>
      </c>
      <c r="E194" t="s">
        <v>319</v>
      </c>
      <c r="F194" t="s">
        <v>371</v>
      </c>
      <c r="G194" s="15" t="s">
        <v>847</v>
      </c>
      <c r="H194" t="s">
        <v>355</v>
      </c>
      <c r="I194" t="s">
        <v>355</v>
      </c>
      <c r="J194" t="s">
        <v>380</v>
      </c>
      <c r="L194">
        <v>3</v>
      </c>
      <c r="M194">
        <v>1</v>
      </c>
      <c r="N194">
        <v>4</v>
      </c>
      <c r="O194">
        <v>5</v>
      </c>
      <c r="P194">
        <v>6</v>
      </c>
      <c r="Q194">
        <v>7</v>
      </c>
      <c r="R194">
        <v>2</v>
      </c>
      <c r="S194" t="s">
        <v>355</v>
      </c>
      <c r="T194" t="s">
        <v>848</v>
      </c>
    </row>
    <row r="195" spans="1:20" x14ac:dyDescent="0.35">
      <c r="A195" t="s">
        <v>277</v>
      </c>
      <c r="B195">
        <v>4.6694164789426257E-2</v>
      </c>
      <c r="C195">
        <v>3.0599999999999898</v>
      </c>
      <c r="D195" s="7">
        <v>4.2399870277282297</v>
      </c>
      <c r="E195" t="s">
        <v>319</v>
      </c>
      <c r="F195" t="s">
        <v>371</v>
      </c>
      <c r="G195" s="15" t="s">
        <v>849</v>
      </c>
      <c r="H195" t="s">
        <v>485</v>
      </c>
      <c r="I195" t="s">
        <v>850</v>
      </c>
      <c r="J195" t="s">
        <v>359</v>
      </c>
      <c r="L195">
        <v>3</v>
      </c>
      <c r="M195">
        <v>4</v>
      </c>
      <c r="N195">
        <v>1</v>
      </c>
      <c r="O195">
        <v>5</v>
      </c>
      <c r="P195">
        <v>6</v>
      </c>
      <c r="Q195">
        <v>2</v>
      </c>
      <c r="R195">
        <v>7</v>
      </c>
      <c r="S195" t="s">
        <v>851</v>
      </c>
      <c r="T195" t="s">
        <v>485</v>
      </c>
    </row>
    <row r="196" spans="1:20" x14ac:dyDescent="0.35">
      <c r="A196" t="s">
        <v>278</v>
      </c>
      <c r="B196" s="13">
        <v>9.3393352151488016E-2</v>
      </c>
      <c r="C196">
        <v>3.36</v>
      </c>
      <c r="D196" s="7">
        <v>5.3179828117399</v>
      </c>
      <c r="E196" t="s">
        <v>319</v>
      </c>
      <c r="F196" t="s">
        <v>353</v>
      </c>
      <c r="G196" s="15" t="s">
        <v>852</v>
      </c>
      <c r="H196" s="15" t="s">
        <v>628</v>
      </c>
      <c r="I196" t="s">
        <v>355</v>
      </c>
      <c r="J196" t="s">
        <v>380</v>
      </c>
      <c r="L196">
        <v>1</v>
      </c>
      <c r="M196">
        <v>3</v>
      </c>
      <c r="N196">
        <v>5</v>
      </c>
      <c r="O196">
        <v>6</v>
      </c>
      <c r="P196">
        <v>7</v>
      </c>
      <c r="Q196">
        <v>4</v>
      </c>
      <c r="R196">
        <v>2</v>
      </c>
      <c r="S196" t="s">
        <v>853</v>
      </c>
      <c r="T196" t="s">
        <v>854</v>
      </c>
    </row>
    <row r="197" spans="1:20" ht="29" x14ac:dyDescent="0.35">
      <c r="A197" t="s">
        <v>279</v>
      </c>
      <c r="B197">
        <v>1.133897297656063E-4</v>
      </c>
      <c r="C197">
        <v>1.3199999999999901</v>
      </c>
      <c r="D197">
        <v>1.76293173341981</v>
      </c>
      <c r="E197" t="s">
        <v>319</v>
      </c>
      <c r="F197" t="s">
        <v>353</v>
      </c>
      <c r="G197" s="15" t="s">
        <v>855</v>
      </c>
      <c r="H197" t="s">
        <v>856</v>
      </c>
      <c r="I197" t="s">
        <v>857</v>
      </c>
      <c r="J197" t="s">
        <v>359</v>
      </c>
      <c r="L197">
        <v>3</v>
      </c>
      <c r="M197">
        <v>5</v>
      </c>
      <c r="N197">
        <v>1</v>
      </c>
      <c r="O197">
        <v>7</v>
      </c>
      <c r="P197">
        <v>2</v>
      </c>
      <c r="Q197">
        <v>6</v>
      </c>
      <c r="R197">
        <v>4</v>
      </c>
      <c r="S197" t="s">
        <v>858</v>
      </c>
      <c r="T197" t="s">
        <v>859</v>
      </c>
    </row>
    <row r="198" spans="1:20" x14ac:dyDescent="0.35">
      <c r="A198" t="s">
        <v>280</v>
      </c>
      <c r="B198">
        <v>3.4664026818232259E-9</v>
      </c>
      <c r="C198">
        <v>2.5799999999999899</v>
      </c>
      <c r="D198">
        <v>2.5607264472190598</v>
      </c>
      <c r="E198" t="s">
        <v>319</v>
      </c>
      <c r="F198" t="s">
        <v>353</v>
      </c>
      <c r="G198" s="15" t="s">
        <v>860</v>
      </c>
      <c r="H198" t="s">
        <v>355</v>
      </c>
      <c r="I198" t="s">
        <v>355</v>
      </c>
      <c r="J198" t="s">
        <v>409</v>
      </c>
      <c r="K198" t="s">
        <v>861</v>
      </c>
      <c r="L198">
        <v>1</v>
      </c>
      <c r="M198">
        <v>2</v>
      </c>
      <c r="N198">
        <v>3</v>
      </c>
      <c r="O198">
        <v>4</v>
      </c>
      <c r="P198">
        <v>7</v>
      </c>
      <c r="Q198">
        <v>6</v>
      </c>
      <c r="R198">
        <v>5</v>
      </c>
    </row>
    <row r="199" spans="1:20" x14ac:dyDescent="0.35">
      <c r="A199" t="s">
        <v>281</v>
      </c>
      <c r="B199">
        <v>1.5693956173508191E-4</v>
      </c>
      <c r="C199">
        <v>3.23999999999999</v>
      </c>
      <c r="D199">
        <v>3.7924436516945002</v>
      </c>
      <c r="E199" t="s">
        <v>319</v>
      </c>
      <c r="F199" t="s">
        <v>371</v>
      </c>
      <c r="G199" s="15" t="s">
        <v>862</v>
      </c>
      <c r="H199" s="15" t="s">
        <v>408</v>
      </c>
      <c r="I199" t="s">
        <v>408</v>
      </c>
      <c r="J199" t="s">
        <v>416</v>
      </c>
      <c r="K199" t="s">
        <v>863</v>
      </c>
      <c r="L199">
        <v>4</v>
      </c>
      <c r="M199">
        <v>1</v>
      </c>
      <c r="N199">
        <v>2</v>
      </c>
      <c r="O199">
        <v>3</v>
      </c>
      <c r="P199">
        <v>7</v>
      </c>
      <c r="Q199">
        <v>5</v>
      </c>
      <c r="R199">
        <v>6</v>
      </c>
      <c r="S199" t="s">
        <v>864</v>
      </c>
      <c r="T199" t="s">
        <v>865</v>
      </c>
    </row>
    <row r="200" spans="1:20" x14ac:dyDescent="0.35">
      <c r="A200" t="s">
        <v>282</v>
      </c>
      <c r="B200">
        <v>0.68926611743657251</v>
      </c>
      <c r="C200">
        <v>-0.12</v>
      </c>
      <c r="D200">
        <v>1.55083508999513</v>
      </c>
      <c r="E200" t="s">
        <v>329</v>
      </c>
      <c r="F200" t="s">
        <v>479</v>
      </c>
      <c r="G200" s="15" t="s">
        <v>866</v>
      </c>
      <c r="H200" t="s">
        <v>355</v>
      </c>
      <c r="I200" t="s">
        <v>867</v>
      </c>
      <c r="J200" t="s">
        <v>380</v>
      </c>
      <c r="L200">
        <v>4</v>
      </c>
      <c r="M200">
        <v>1</v>
      </c>
      <c r="N200">
        <v>3</v>
      </c>
      <c r="O200">
        <v>5</v>
      </c>
      <c r="P200">
        <v>2</v>
      </c>
      <c r="Q200">
        <v>6</v>
      </c>
      <c r="R200">
        <v>7</v>
      </c>
      <c r="S200" t="s">
        <v>868</v>
      </c>
      <c r="T200" t="s">
        <v>869</v>
      </c>
    </row>
    <row r="201" spans="1:20" x14ac:dyDescent="0.35">
      <c r="A201" t="s">
        <v>283</v>
      </c>
      <c r="B201">
        <v>8.7539997847900201E-12</v>
      </c>
      <c r="C201">
        <v>6.18</v>
      </c>
      <c r="D201">
        <v>6.3687368250364802</v>
      </c>
      <c r="E201" t="s">
        <v>319</v>
      </c>
      <c r="F201" t="s">
        <v>371</v>
      </c>
      <c r="G201" s="15" t="s">
        <v>675</v>
      </c>
      <c r="H201" s="15" t="s">
        <v>355</v>
      </c>
      <c r="I201" t="s">
        <v>355</v>
      </c>
      <c r="J201" t="s">
        <v>365</v>
      </c>
      <c r="L201">
        <v>1</v>
      </c>
      <c r="M201">
        <v>7</v>
      </c>
      <c r="N201">
        <v>6</v>
      </c>
      <c r="O201">
        <v>5</v>
      </c>
      <c r="P201">
        <v>2</v>
      </c>
      <c r="Q201">
        <v>4</v>
      </c>
      <c r="R201">
        <v>3</v>
      </c>
      <c r="S201" t="s">
        <v>870</v>
      </c>
      <c r="T201" t="s">
        <v>871</v>
      </c>
    </row>
    <row r="202" spans="1:20" ht="29" x14ac:dyDescent="0.35">
      <c r="A202" t="s">
        <v>284</v>
      </c>
      <c r="B202">
        <v>9.3268050206633354E-6</v>
      </c>
      <c r="C202">
        <v>4.4399999999999897</v>
      </c>
      <c r="D202">
        <v>2.4284092751743098</v>
      </c>
      <c r="E202" t="s">
        <v>319</v>
      </c>
      <c r="F202" t="s">
        <v>371</v>
      </c>
      <c r="G202" s="15" t="s">
        <v>872</v>
      </c>
      <c r="H202" s="15" t="s">
        <v>873</v>
      </c>
      <c r="I202" t="s">
        <v>874</v>
      </c>
      <c r="J202" t="s">
        <v>359</v>
      </c>
      <c r="L202">
        <v>4</v>
      </c>
      <c r="M202">
        <v>1</v>
      </c>
      <c r="N202">
        <v>5</v>
      </c>
      <c r="O202">
        <v>7</v>
      </c>
      <c r="P202">
        <v>3</v>
      </c>
      <c r="Q202">
        <v>2</v>
      </c>
      <c r="R202">
        <v>6</v>
      </c>
      <c r="S202" t="s">
        <v>355</v>
      </c>
      <c r="T202" t="s">
        <v>355</v>
      </c>
    </row>
    <row r="203" spans="1:20" ht="43.5" x14ac:dyDescent="0.35">
      <c r="A203" t="s">
        <v>285</v>
      </c>
      <c r="B203">
        <v>6.8648173134462798E-3</v>
      </c>
      <c r="C203">
        <v>0.65999999999999903</v>
      </c>
      <c r="D203">
        <v>1.0994000324306701</v>
      </c>
      <c r="E203" t="s">
        <v>319</v>
      </c>
      <c r="F203" t="s">
        <v>353</v>
      </c>
      <c r="G203" s="15" t="s">
        <v>875</v>
      </c>
      <c r="H203" t="s">
        <v>355</v>
      </c>
      <c r="I203" t="s">
        <v>355</v>
      </c>
      <c r="J203" t="s">
        <v>380</v>
      </c>
      <c r="L203">
        <v>1</v>
      </c>
      <c r="M203">
        <v>2</v>
      </c>
      <c r="N203">
        <v>7</v>
      </c>
      <c r="O203">
        <v>3</v>
      </c>
      <c r="P203">
        <v>5</v>
      </c>
      <c r="Q203">
        <v>4</v>
      </c>
      <c r="R203">
        <v>6</v>
      </c>
      <c r="S203" t="s">
        <v>876</v>
      </c>
      <c r="T203" t="s">
        <v>355</v>
      </c>
    </row>
    <row r="204" spans="1:20" ht="29" x14ac:dyDescent="0.35">
      <c r="A204" t="s">
        <v>286</v>
      </c>
      <c r="B204">
        <v>2.9265804178617842E-4</v>
      </c>
      <c r="C204">
        <v>4.08</v>
      </c>
      <c r="D204">
        <v>7.0303226852602503</v>
      </c>
      <c r="E204" t="s">
        <v>319</v>
      </c>
      <c r="F204" t="s">
        <v>353</v>
      </c>
      <c r="G204" s="15" t="s">
        <v>877</v>
      </c>
      <c r="H204" s="15" t="s">
        <v>878</v>
      </c>
      <c r="I204" t="s">
        <v>373</v>
      </c>
      <c r="J204" t="s">
        <v>380</v>
      </c>
      <c r="L204">
        <v>1</v>
      </c>
      <c r="M204">
        <v>7</v>
      </c>
      <c r="N204">
        <v>6</v>
      </c>
      <c r="O204">
        <v>4</v>
      </c>
      <c r="P204">
        <v>2</v>
      </c>
      <c r="Q204">
        <v>3</v>
      </c>
      <c r="R204">
        <v>5</v>
      </c>
      <c r="S204" t="s">
        <v>373</v>
      </c>
      <c r="T204" t="s">
        <v>879</v>
      </c>
    </row>
    <row r="205" spans="1:20" x14ac:dyDescent="0.35">
      <c r="A205" t="s">
        <v>287</v>
      </c>
      <c r="B205">
        <v>0.66598432108227013</v>
      </c>
      <c r="C205">
        <v>0</v>
      </c>
      <c r="D205">
        <v>-0.101183719798929</v>
      </c>
      <c r="E205" t="s">
        <v>328</v>
      </c>
      <c r="F205" t="s">
        <v>386</v>
      </c>
      <c r="G205" s="15" t="s">
        <v>373</v>
      </c>
      <c r="H205" t="s">
        <v>373</v>
      </c>
      <c r="I205" t="s">
        <v>880</v>
      </c>
      <c r="J205" t="s">
        <v>541</v>
      </c>
      <c r="L205">
        <v>6</v>
      </c>
      <c r="M205">
        <v>5</v>
      </c>
      <c r="N205">
        <v>3</v>
      </c>
      <c r="O205">
        <v>2</v>
      </c>
      <c r="P205">
        <v>4</v>
      </c>
      <c r="Q205">
        <v>1</v>
      </c>
      <c r="R205">
        <v>7</v>
      </c>
      <c r="S205" t="s">
        <v>373</v>
      </c>
      <c r="T205" t="s">
        <v>373</v>
      </c>
    </row>
    <row r="206" spans="1:20" x14ac:dyDescent="0.35">
      <c r="A206" t="s">
        <v>288</v>
      </c>
      <c r="B206">
        <v>3.1097247786084241E-2</v>
      </c>
      <c r="C206">
        <v>3.48</v>
      </c>
      <c r="D206">
        <v>5.7869304361926304</v>
      </c>
      <c r="E206" t="s">
        <v>319</v>
      </c>
      <c r="F206" t="s">
        <v>353</v>
      </c>
      <c r="G206" s="15" t="s">
        <v>881</v>
      </c>
      <c r="H206" s="15" t="s">
        <v>355</v>
      </c>
      <c r="I206" t="s">
        <v>355</v>
      </c>
      <c r="J206" t="s">
        <v>380</v>
      </c>
      <c r="L206">
        <v>1</v>
      </c>
      <c r="M206">
        <v>2</v>
      </c>
      <c r="N206">
        <v>3</v>
      </c>
      <c r="O206">
        <v>4</v>
      </c>
      <c r="P206">
        <v>5</v>
      </c>
      <c r="Q206">
        <v>6</v>
      </c>
      <c r="R206">
        <v>7</v>
      </c>
      <c r="S206" t="s">
        <v>628</v>
      </c>
      <c r="T206" t="s">
        <v>355</v>
      </c>
    </row>
    <row r="207" spans="1:20" ht="43.5" x14ac:dyDescent="0.35">
      <c r="A207" t="s">
        <v>289</v>
      </c>
      <c r="B207">
        <v>1.1868985581781559E-8</v>
      </c>
      <c r="C207">
        <v>5.1599999999999904</v>
      </c>
      <c r="D207">
        <v>2.7475271606940099</v>
      </c>
      <c r="E207" t="s">
        <v>319</v>
      </c>
      <c r="F207" t="s">
        <v>371</v>
      </c>
      <c r="G207" s="15" t="s">
        <v>882</v>
      </c>
      <c r="H207" s="15" t="s">
        <v>355</v>
      </c>
      <c r="I207" t="s">
        <v>355</v>
      </c>
      <c r="J207" t="s">
        <v>416</v>
      </c>
      <c r="K207" t="s">
        <v>883</v>
      </c>
      <c r="L207">
        <v>2</v>
      </c>
      <c r="M207">
        <v>6</v>
      </c>
      <c r="N207">
        <v>1</v>
      </c>
      <c r="O207">
        <v>7</v>
      </c>
      <c r="P207">
        <v>5</v>
      </c>
      <c r="Q207">
        <v>3</v>
      </c>
      <c r="R207">
        <v>4</v>
      </c>
      <c r="S207" t="s">
        <v>884</v>
      </c>
      <c r="T207" t="s">
        <v>885</v>
      </c>
    </row>
    <row r="208" spans="1:20" ht="29" x14ac:dyDescent="0.35">
      <c r="A208" t="s">
        <v>290</v>
      </c>
      <c r="B208">
        <v>5.713517073021662E-5</v>
      </c>
      <c r="C208">
        <v>1.44</v>
      </c>
      <c r="D208">
        <v>1.0994000324306701</v>
      </c>
      <c r="E208" t="s">
        <v>319</v>
      </c>
      <c r="F208" t="s">
        <v>353</v>
      </c>
      <c r="G208" s="15" t="s">
        <v>886</v>
      </c>
      <c r="H208" t="s">
        <v>355</v>
      </c>
      <c r="I208" t="s">
        <v>355</v>
      </c>
      <c r="J208" t="s">
        <v>409</v>
      </c>
      <c r="K208" t="s">
        <v>887</v>
      </c>
      <c r="L208">
        <v>2</v>
      </c>
      <c r="M208">
        <v>3</v>
      </c>
      <c r="N208">
        <v>7</v>
      </c>
      <c r="O208">
        <v>1</v>
      </c>
      <c r="P208">
        <v>4</v>
      </c>
      <c r="Q208">
        <v>5</v>
      </c>
      <c r="R208">
        <v>6</v>
      </c>
      <c r="S208" t="s">
        <v>355</v>
      </c>
      <c r="T208" t="s">
        <v>888</v>
      </c>
    </row>
    <row r="209" spans="1:20" ht="29" x14ac:dyDescent="0.35">
      <c r="A209" t="s">
        <v>291</v>
      </c>
      <c r="B209">
        <v>0.34241017735936968</v>
      </c>
      <c r="C209">
        <v>0.24</v>
      </c>
      <c r="D209">
        <v>0.41251824225717498</v>
      </c>
      <c r="E209" t="s">
        <v>319</v>
      </c>
      <c r="F209" t="s">
        <v>353</v>
      </c>
      <c r="G209" s="15" t="s">
        <v>889</v>
      </c>
      <c r="H209" t="s">
        <v>355</v>
      </c>
      <c r="I209" t="s">
        <v>355</v>
      </c>
      <c r="J209" t="s">
        <v>380</v>
      </c>
      <c r="L209">
        <v>2</v>
      </c>
      <c r="M209">
        <v>1</v>
      </c>
      <c r="N209">
        <v>4</v>
      </c>
      <c r="O209">
        <v>7</v>
      </c>
      <c r="P209">
        <v>5</v>
      </c>
      <c r="Q209">
        <v>6</v>
      </c>
      <c r="R209">
        <v>3</v>
      </c>
      <c r="S209" t="s">
        <v>890</v>
      </c>
      <c r="T209" t="s">
        <v>891</v>
      </c>
    </row>
  </sheetData>
  <sortState xmlns:xlrd2="http://schemas.microsoft.com/office/spreadsheetml/2017/richdata2" ref="A2:T209">
    <sortCondition ref="A1:A20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3BED-88A5-4376-81F0-78866F9B80B2}">
  <dimension ref="A3:O24"/>
  <sheetViews>
    <sheetView workbookViewId="0">
      <selection activeCell="B10" sqref="B10"/>
    </sheetView>
  </sheetViews>
  <sheetFormatPr defaultRowHeight="14.5" x14ac:dyDescent="0.35"/>
  <cols>
    <col min="1" max="1" width="14.6328125" bestFit="1" customWidth="1"/>
    <col min="2" max="2" width="15.6328125" bestFit="1" customWidth="1"/>
    <col min="3" max="3" width="4.81640625" bestFit="1" customWidth="1"/>
    <col min="4" max="4" width="6.81640625" bestFit="1" customWidth="1"/>
    <col min="5" max="5" width="10.36328125" bestFit="1" customWidth="1"/>
    <col min="9" max="9" width="14.6328125" bestFit="1" customWidth="1"/>
    <col min="10" max="10" width="15.6328125" bestFit="1" customWidth="1"/>
    <col min="11" max="11" width="9.1796875" bestFit="1" customWidth="1"/>
    <col min="12" max="12" width="9.26953125" bestFit="1" customWidth="1"/>
    <col min="13" max="13" width="9.1796875" bestFit="1" customWidth="1"/>
    <col min="14" max="14" width="8.54296875" bestFit="1" customWidth="1"/>
    <col min="15" max="15" width="10.36328125" bestFit="1" customWidth="1"/>
    <col min="16" max="16" width="11.26953125" bestFit="1" customWidth="1"/>
    <col min="17" max="17" width="10.36328125" bestFit="1" customWidth="1"/>
  </cols>
  <sheetData>
    <row r="3" spans="1:15" x14ac:dyDescent="0.35">
      <c r="A3" s="1" t="s">
        <v>88</v>
      </c>
      <c r="B3" s="1" t="s">
        <v>85</v>
      </c>
      <c r="I3" s="1" t="s">
        <v>88</v>
      </c>
      <c r="J3" s="1" t="s">
        <v>85</v>
      </c>
    </row>
    <row r="4" spans="1:15" x14ac:dyDescent="0.35">
      <c r="A4" s="1" t="s">
        <v>87</v>
      </c>
      <c r="B4" t="s">
        <v>49</v>
      </c>
      <c r="C4" t="s">
        <v>46</v>
      </c>
      <c r="D4" t="s">
        <v>96</v>
      </c>
      <c r="E4" t="s">
        <v>86</v>
      </c>
      <c r="J4" t="s">
        <v>49</v>
      </c>
      <c r="L4" t="s">
        <v>46</v>
      </c>
      <c r="N4" t="s">
        <v>96</v>
      </c>
      <c r="O4" t="s">
        <v>86</v>
      </c>
    </row>
    <row r="5" spans="1:15" x14ac:dyDescent="0.35">
      <c r="A5" s="2" t="s">
        <v>47</v>
      </c>
      <c r="B5">
        <v>76</v>
      </c>
      <c r="C5">
        <v>56</v>
      </c>
      <c r="E5">
        <v>132</v>
      </c>
      <c r="I5" s="1" t="s">
        <v>87</v>
      </c>
      <c r="J5" t="s">
        <v>318</v>
      </c>
      <c r="K5" t="s">
        <v>323</v>
      </c>
      <c r="L5" t="s">
        <v>318</v>
      </c>
      <c r="M5" t="s">
        <v>323</v>
      </c>
      <c r="N5" t="s">
        <v>96</v>
      </c>
    </row>
    <row r="6" spans="1:15" x14ac:dyDescent="0.35">
      <c r="A6" s="2" t="s">
        <v>52</v>
      </c>
      <c r="B6">
        <v>29</v>
      </c>
      <c r="C6">
        <v>47</v>
      </c>
      <c r="E6">
        <v>76</v>
      </c>
      <c r="I6" s="2" t="s">
        <v>96</v>
      </c>
    </row>
    <row r="7" spans="1:15" x14ac:dyDescent="0.35">
      <c r="A7" s="2" t="s">
        <v>96</v>
      </c>
      <c r="I7" s="3" t="s">
        <v>96</v>
      </c>
    </row>
    <row r="8" spans="1:15" x14ac:dyDescent="0.35">
      <c r="A8" s="2" t="s">
        <v>86</v>
      </c>
      <c r="B8">
        <v>105</v>
      </c>
      <c r="C8">
        <v>103</v>
      </c>
      <c r="E8">
        <v>208</v>
      </c>
      <c r="I8" s="2" t="s">
        <v>317</v>
      </c>
    </row>
    <row r="9" spans="1:15" x14ac:dyDescent="0.35">
      <c r="B9">
        <f>GETPIVOTDATA("subject",$A$3,"Gender","Female")/208</f>
        <v>0.50480769230769229</v>
      </c>
      <c r="I9" s="3" t="s">
        <v>47</v>
      </c>
      <c r="J9">
        <v>6</v>
      </c>
      <c r="K9">
        <v>32</v>
      </c>
      <c r="L9">
        <v>25</v>
      </c>
      <c r="M9">
        <v>4</v>
      </c>
      <c r="O9">
        <v>67</v>
      </c>
    </row>
    <row r="10" spans="1:15" x14ac:dyDescent="0.35">
      <c r="B10">
        <f>103/208</f>
        <v>0.49519230769230771</v>
      </c>
      <c r="I10" s="3" t="s">
        <v>52</v>
      </c>
      <c r="J10">
        <v>1</v>
      </c>
      <c r="K10">
        <v>16</v>
      </c>
      <c r="L10">
        <v>22</v>
      </c>
      <c r="M10">
        <v>2</v>
      </c>
      <c r="O10">
        <v>41</v>
      </c>
    </row>
    <row r="11" spans="1:15" x14ac:dyDescent="0.35">
      <c r="I11" s="2" t="s">
        <v>326</v>
      </c>
    </row>
    <row r="12" spans="1:15" x14ac:dyDescent="0.35">
      <c r="I12" s="3" t="s">
        <v>47</v>
      </c>
      <c r="J12">
        <v>3</v>
      </c>
      <c r="K12">
        <v>35</v>
      </c>
      <c r="L12">
        <v>23</v>
      </c>
      <c r="M12">
        <v>4</v>
      </c>
      <c r="O12">
        <v>65</v>
      </c>
    </row>
    <row r="13" spans="1:15" x14ac:dyDescent="0.35">
      <c r="I13" s="3" t="s">
        <v>52</v>
      </c>
      <c r="J13">
        <v>1</v>
      </c>
      <c r="K13">
        <v>11</v>
      </c>
      <c r="L13">
        <v>16</v>
      </c>
      <c r="M13">
        <v>7</v>
      </c>
      <c r="O13">
        <v>35</v>
      </c>
    </row>
    <row r="14" spans="1:15" x14ac:dyDescent="0.35">
      <c r="A14" s="1" t="s">
        <v>88</v>
      </c>
      <c r="B14" s="1" t="s">
        <v>85</v>
      </c>
      <c r="I14" s="2" t="s">
        <v>86</v>
      </c>
      <c r="J14">
        <v>11</v>
      </c>
      <c r="K14">
        <v>94</v>
      </c>
      <c r="L14">
        <v>86</v>
      </c>
      <c r="M14">
        <v>17</v>
      </c>
      <c r="O14">
        <v>208</v>
      </c>
    </row>
    <row r="15" spans="1:15" x14ac:dyDescent="0.35">
      <c r="A15" s="1" t="s">
        <v>87</v>
      </c>
      <c r="B15" t="s">
        <v>49</v>
      </c>
      <c r="C15" t="s">
        <v>46</v>
      </c>
      <c r="D15" t="s">
        <v>96</v>
      </c>
      <c r="E15" t="s">
        <v>86</v>
      </c>
    </row>
    <row r="16" spans="1:15" x14ac:dyDescent="0.35">
      <c r="A16" s="2" t="s">
        <v>96</v>
      </c>
    </row>
    <row r="17" spans="1:5" x14ac:dyDescent="0.35">
      <c r="A17" s="3" t="s">
        <v>96</v>
      </c>
    </row>
    <row r="18" spans="1:5" x14ac:dyDescent="0.35">
      <c r="A18" s="2" t="s">
        <v>317</v>
      </c>
    </row>
    <row r="19" spans="1:5" x14ac:dyDescent="0.35">
      <c r="A19" s="3" t="s">
        <v>318</v>
      </c>
      <c r="B19">
        <v>7</v>
      </c>
      <c r="C19">
        <v>47</v>
      </c>
      <c r="E19">
        <v>54</v>
      </c>
    </row>
    <row r="20" spans="1:5" x14ac:dyDescent="0.35">
      <c r="A20" s="3" t="s">
        <v>323</v>
      </c>
      <c r="B20">
        <v>48</v>
      </c>
      <c r="C20">
        <v>6</v>
      </c>
      <c r="E20">
        <v>54</v>
      </c>
    </row>
    <row r="21" spans="1:5" x14ac:dyDescent="0.35">
      <c r="A21" s="2" t="s">
        <v>326</v>
      </c>
    </row>
    <row r="22" spans="1:5" x14ac:dyDescent="0.35">
      <c r="A22" s="3" t="s">
        <v>318</v>
      </c>
      <c r="B22">
        <v>4</v>
      </c>
      <c r="C22">
        <v>39</v>
      </c>
      <c r="E22">
        <v>43</v>
      </c>
    </row>
    <row r="23" spans="1:5" x14ac:dyDescent="0.35">
      <c r="A23" s="3" t="s">
        <v>323</v>
      </c>
      <c r="B23">
        <v>46</v>
      </c>
      <c r="C23">
        <v>11</v>
      </c>
      <c r="E23">
        <v>57</v>
      </c>
    </row>
    <row r="24" spans="1:5" x14ac:dyDescent="0.35">
      <c r="A24" s="2" t="s">
        <v>86</v>
      </c>
      <c r="B24">
        <v>105</v>
      </c>
      <c r="C24">
        <v>103</v>
      </c>
      <c r="E24">
        <v>208</v>
      </c>
    </row>
  </sheetData>
  <conditionalFormatting pivot="1" sqref="B5:C7">
    <cfRule type="colorScale" priority="4">
      <colorScale>
        <cfvo type="min"/>
        <cfvo type="max"/>
        <color rgb="FFFFEF9C"/>
        <color rgb="FF63BE7B"/>
      </colorScale>
    </cfRule>
  </conditionalFormatting>
  <conditionalFormatting pivot="1" sqref="B16:C16">
    <cfRule type="colorScale" priority="3">
      <colorScale>
        <cfvo type="min"/>
        <cfvo type="max"/>
        <color rgb="FFFFEF9C"/>
        <color rgb="FF63BE7B"/>
      </colorScale>
    </cfRule>
  </conditionalFormatting>
  <conditionalFormatting pivot="1">
    <cfRule type="colorScale" priority="2">
      <colorScale>
        <cfvo type="min"/>
        <cfvo type="max"/>
        <color rgb="FFFFEF9C"/>
        <color rgb="FF63BE7B"/>
      </colorScale>
    </cfRule>
  </conditionalFormatting>
  <conditionalFormatting pivot="1">
    <cfRule type="colorScale" priority="1">
      <colorScale>
        <cfvo type="min"/>
        <cfvo type="max"/>
        <color rgb="FFFFEF9C"/>
        <color rgb="FF63BE7B"/>
      </colorScale>
    </cfRule>
  </conditionalFormatting>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D978-5252-4AA1-978B-BD04C652D0A3}">
  <dimension ref="C1:G10"/>
  <sheetViews>
    <sheetView workbookViewId="0">
      <selection activeCell="C3" sqref="C3"/>
    </sheetView>
  </sheetViews>
  <sheetFormatPr defaultRowHeight="14.5" x14ac:dyDescent="0.35"/>
  <cols>
    <col min="3" max="3" width="16.1796875" bestFit="1" customWidth="1"/>
    <col min="4" max="4" width="27.26953125" bestFit="1" customWidth="1"/>
    <col min="5" max="5" width="21.6328125" bestFit="1" customWidth="1"/>
    <col min="6" max="6" width="27.81640625" bestFit="1" customWidth="1"/>
    <col min="7" max="7" width="28.6328125" bestFit="1" customWidth="1"/>
  </cols>
  <sheetData>
    <row r="1" spans="3:7" x14ac:dyDescent="0.35">
      <c r="C1" t="s">
        <v>299</v>
      </c>
      <c r="D1" t="s">
        <v>292</v>
      </c>
      <c r="E1" t="s">
        <v>293</v>
      </c>
      <c r="F1" t="s">
        <v>294</v>
      </c>
      <c r="G1" t="s">
        <v>298</v>
      </c>
    </row>
    <row r="2" spans="3:7" x14ac:dyDescent="0.35">
      <c r="C2" t="s">
        <v>295</v>
      </c>
      <c r="D2">
        <v>10</v>
      </c>
      <c r="E2">
        <f>212-8-D2</f>
        <v>194</v>
      </c>
      <c r="F2" s="8">
        <v>174.2</v>
      </c>
      <c r="G2" s="9">
        <f>F2/60</f>
        <v>2.9033333333333333</v>
      </c>
    </row>
    <row r="3" spans="3:7" x14ac:dyDescent="0.35">
      <c r="C3" t="s">
        <v>296</v>
      </c>
      <c r="D3">
        <v>21</v>
      </c>
      <c r="E3">
        <f t="shared" ref="E3:E5" si="0">212-8-D3</f>
        <v>183</v>
      </c>
      <c r="F3">
        <v>170.24</v>
      </c>
      <c r="G3" s="9">
        <f>F3/60</f>
        <v>2.8373333333333335</v>
      </c>
    </row>
    <row r="4" spans="3:7" x14ac:dyDescent="0.35">
      <c r="C4" t="s">
        <v>297</v>
      </c>
      <c r="D4">
        <v>18</v>
      </c>
      <c r="E4">
        <f t="shared" si="0"/>
        <v>186</v>
      </c>
      <c r="F4">
        <v>128.91999999999999</v>
      </c>
      <c r="G4" s="9">
        <f>F4/60</f>
        <v>2.1486666666666663</v>
      </c>
    </row>
    <row r="5" spans="3:7" x14ac:dyDescent="0.35">
      <c r="E5">
        <f t="shared" si="0"/>
        <v>204</v>
      </c>
      <c r="G5" s="9"/>
    </row>
    <row r="6" spans="3:7" x14ac:dyDescent="0.35">
      <c r="G6" s="9"/>
    </row>
    <row r="7" spans="3:7" x14ac:dyDescent="0.35">
      <c r="G7" s="9"/>
    </row>
    <row r="8" spans="3:7" x14ac:dyDescent="0.35">
      <c r="G8" s="9"/>
    </row>
    <row r="9" spans="3:7" x14ac:dyDescent="0.35">
      <c r="G9" s="9"/>
    </row>
    <row r="10" spans="3:7" x14ac:dyDescent="0.35">
      <c r="G10" s="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6480-005A-4BA7-9D5D-65C76D852E2B}">
  <dimension ref="B2:G19"/>
  <sheetViews>
    <sheetView workbookViewId="0">
      <selection activeCell="E3" sqref="E3"/>
    </sheetView>
  </sheetViews>
  <sheetFormatPr defaultRowHeight="14.5" x14ac:dyDescent="0.35"/>
  <cols>
    <col min="3" max="3" width="21.453125" bestFit="1" customWidth="1"/>
    <col min="4" max="4" width="20.81640625" bestFit="1" customWidth="1"/>
    <col min="5" max="5" width="25.6328125" bestFit="1" customWidth="1"/>
  </cols>
  <sheetData>
    <row r="2" spans="2:7" x14ac:dyDescent="0.35">
      <c r="B2" t="s">
        <v>300</v>
      </c>
      <c r="C2" t="s">
        <v>304</v>
      </c>
      <c r="D2" t="s">
        <v>306</v>
      </c>
      <c r="E2" t="s">
        <v>307</v>
      </c>
      <c r="G2" t="s">
        <v>309</v>
      </c>
    </row>
    <row r="3" spans="2:7" x14ac:dyDescent="0.35">
      <c r="B3" t="s">
        <v>295</v>
      </c>
      <c r="C3">
        <v>184</v>
      </c>
      <c r="D3">
        <v>185</v>
      </c>
      <c r="E3" s="10">
        <f t="shared" ref="E3:E8" si="0">G3/182</f>
        <v>0.97252747252747251</v>
      </c>
      <c r="G3">
        <v>177</v>
      </c>
    </row>
    <row r="4" spans="2:7" x14ac:dyDescent="0.35">
      <c r="B4" t="s">
        <v>308</v>
      </c>
      <c r="C4">
        <v>128</v>
      </c>
      <c r="D4">
        <v>80</v>
      </c>
      <c r="E4" s="10">
        <f t="shared" si="0"/>
        <v>0.67032967032967028</v>
      </c>
      <c r="G4">
        <v>122</v>
      </c>
    </row>
    <row r="5" spans="2:7" x14ac:dyDescent="0.35">
      <c r="B5" t="s">
        <v>305</v>
      </c>
      <c r="C5">
        <v>139</v>
      </c>
      <c r="D5">
        <v>145</v>
      </c>
      <c r="E5" s="10">
        <f t="shared" si="0"/>
        <v>0.58241758241758246</v>
      </c>
      <c r="G5">
        <v>106</v>
      </c>
    </row>
    <row r="6" spans="2:7" x14ac:dyDescent="0.35">
      <c r="B6" t="s">
        <v>301</v>
      </c>
      <c r="C6">
        <v>145</v>
      </c>
      <c r="D6">
        <v>145</v>
      </c>
      <c r="E6" s="10">
        <f t="shared" si="0"/>
        <v>0.47802197802197804</v>
      </c>
      <c r="G6">
        <v>87</v>
      </c>
    </row>
    <row r="7" spans="2:7" x14ac:dyDescent="0.35">
      <c r="B7" t="s">
        <v>303</v>
      </c>
      <c r="C7">
        <v>152</v>
      </c>
      <c r="D7">
        <v>165</v>
      </c>
      <c r="E7" s="10">
        <f t="shared" si="0"/>
        <v>0.46153846153846156</v>
      </c>
      <c r="G7">
        <v>84</v>
      </c>
    </row>
    <row r="8" spans="2:7" x14ac:dyDescent="0.35">
      <c r="B8" t="s">
        <v>302</v>
      </c>
      <c r="C8">
        <v>162</v>
      </c>
      <c r="D8">
        <v>165</v>
      </c>
      <c r="E8" s="10">
        <f t="shared" si="0"/>
        <v>0.40109890109890112</v>
      </c>
      <c r="G8">
        <v>73</v>
      </c>
    </row>
    <row r="13" spans="2:7" x14ac:dyDescent="0.35">
      <c r="B13" t="s">
        <v>300</v>
      </c>
      <c r="C13" t="s">
        <v>304</v>
      </c>
      <c r="D13" t="s">
        <v>306</v>
      </c>
      <c r="E13" t="s">
        <v>307</v>
      </c>
    </row>
    <row r="14" spans="2:7" x14ac:dyDescent="0.35">
      <c r="B14" t="s">
        <v>295</v>
      </c>
      <c r="C14" s="11">
        <v>0.12777777777777777</v>
      </c>
      <c r="D14" s="11">
        <v>0.12847222222222221</v>
      </c>
      <c r="E14" s="10">
        <v>0.97252747252747251</v>
      </c>
    </row>
    <row r="15" spans="2:7" x14ac:dyDescent="0.35">
      <c r="B15" t="s">
        <v>308</v>
      </c>
      <c r="C15" s="11">
        <v>8.8888888888888892E-2</v>
      </c>
      <c r="D15" s="11">
        <v>5.5555555555555552E-2</v>
      </c>
      <c r="E15" s="10">
        <v>0.67032967032967028</v>
      </c>
    </row>
    <row r="16" spans="2:7" x14ac:dyDescent="0.35">
      <c r="B16" t="s">
        <v>305</v>
      </c>
      <c r="C16" s="11">
        <v>9.6527777777777782E-2</v>
      </c>
      <c r="D16" s="11">
        <v>0.10069444444444445</v>
      </c>
      <c r="E16" s="10">
        <v>0.58241758241758246</v>
      </c>
    </row>
    <row r="17" spans="2:5" x14ac:dyDescent="0.35">
      <c r="B17" t="s">
        <v>301</v>
      </c>
      <c r="C17" s="11">
        <v>0.10069444444444445</v>
      </c>
      <c r="D17" s="11">
        <v>0.10069444444444445</v>
      </c>
      <c r="E17" s="10">
        <v>0.47802197802197804</v>
      </c>
    </row>
    <row r="18" spans="2:5" x14ac:dyDescent="0.35">
      <c r="B18" t="s">
        <v>303</v>
      </c>
      <c r="C18" s="11">
        <v>0.10555555555555556</v>
      </c>
      <c r="D18" s="11">
        <v>0.11458333333333333</v>
      </c>
      <c r="E18" s="10">
        <v>0.46153846153846156</v>
      </c>
    </row>
    <row r="19" spans="2:5" x14ac:dyDescent="0.35">
      <c r="B19" t="s">
        <v>302</v>
      </c>
      <c r="C19" s="11">
        <v>0.1125</v>
      </c>
      <c r="D19" s="11">
        <v>0.11458333333333333</v>
      </c>
      <c r="E19" s="10">
        <v>0.40109890109890112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df_ratings_all</vt:lpstr>
      <vt:lpstr>PostQ</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Khushboo gupta</cp:lastModifiedBy>
  <dcterms:created xsi:type="dcterms:W3CDTF">2024-08-27T07:30:22Z</dcterms:created>
  <dcterms:modified xsi:type="dcterms:W3CDTF">2025-03-21T07:27:38Z</dcterms:modified>
</cp:coreProperties>
</file>